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9"/>
  <workbookPr/>
  <mc:AlternateContent xmlns:mc="http://schemas.openxmlformats.org/markup-compatibility/2006">
    <mc:Choice Requires="x15">
      <x15ac:absPath xmlns:x15ac="http://schemas.microsoft.com/office/spreadsheetml/2010/11/ac" url="/Users/howahwan/Desktop/SURF/edubadges-test/"/>
    </mc:Choice>
  </mc:AlternateContent>
  <xr:revisionPtr revIDLastSave="0" documentId="13_ncr:1_{E9B257C1-C582-9E4E-A1EF-3EFD26B4EF1D}" xr6:coauthVersionLast="47" xr6:coauthVersionMax="47" xr10:uidLastSave="{00000000-0000-0000-0000-000000000000}"/>
  <bookViews>
    <workbookView xWindow="1820" yWindow="3760" windowWidth="26500" windowHeight="16980" tabRatio="500" activeTab="10" xr2:uid="{00000000-000D-0000-FFFF-FFFF00000000}"/>
  </bookViews>
  <sheets>
    <sheet name="Overview" sheetId="1" r:id="rId1"/>
    <sheet name="BadgeClass CRUD" sheetId="2" state="hidden" r:id="rId2"/>
    <sheet name="Badge Aanvragen" sheetId="3" state="hidden" r:id="rId3"/>
    <sheet name="Badge acties" sheetId="4" state="hidden" r:id="rId4"/>
    <sheet name="Gebruikers rollen" sheetId="5" state="hidden" r:id="rId5"/>
    <sheet name="Entiteiten beheer" sheetId="6" state="hidden" r:id="rId6"/>
    <sheet name="Test distribution" sheetId="7" state="hidden" r:id="rId7"/>
    <sheet name="Badgeclass interaction" sheetId="8" r:id="rId8"/>
    <sheet name="Issuer interaction" sheetId="9" r:id="rId9"/>
    <sheet name="Issuergroup interaction" sheetId="10" r:id="rId10"/>
    <sheet name="Student interaction" sheetId="11" r:id="rId11"/>
    <sheet name="Admin rights" sheetId="12" r:id="rId12"/>
    <sheet name="Institution interaction" sheetId="13" r:id="rId13"/>
    <sheet name="End-to-end" sheetId="14" r:id="rId14"/>
    <sheet name="Badge distribution" sheetId="15" r:id="rId15"/>
    <sheet name="Expansion possibilities" sheetId="16" r:id="rId16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  <ext xmlns:loext="http://schemas.libreoffice.org/" uri="{7626C862-2A13-11E5-B345-FEFF819CDC9F}">
      <loext:extCalcPr stringRefSyntax="CalcA1"/>
    </ext>
  </extLst>
</workbook>
</file>

<file path=xl/calcChain.xml><?xml version="1.0" encoding="utf-8"?>
<calcChain xmlns="http://schemas.openxmlformats.org/spreadsheetml/2006/main">
  <c r="B4" i="6" l="1"/>
  <c r="B4" i="5"/>
  <c r="C3" i="4"/>
  <c r="B4" i="3"/>
  <c r="B3" i="2"/>
  <c r="C6" i="1"/>
  <c r="C5" i="1"/>
  <c r="C4" i="1"/>
  <c r="C8" i="1" s="1"/>
</calcChain>
</file>

<file path=xl/sharedStrings.xml><?xml version="1.0" encoding="utf-8"?>
<sst xmlns="http://schemas.openxmlformats.org/spreadsheetml/2006/main" count="1019" uniqueCount="239">
  <si>
    <t>Total amount of (non basic) tests:</t>
  </si>
  <si>
    <t>Complete tests:</t>
  </si>
  <si>
    <t>Partial tests (missing asset):</t>
  </si>
  <si>
    <t>Components not tested</t>
  </si>
  <si>
    <t>Missing tests:</t>
  </si>
  <si>
    <t>Onderwijsinstelling</t>
  </si>
  <si>
    <t>Badge class</t>
  </si>
  <si>
    <t>Te valideren actie</t>
  </si>
  <si>
    <t>status/verwachte effort</t>
  </si>
  <si>
    <t>Testfile naam</t>
  </si>
  <si>
    <t>MBO</t>
  </si>
  <si>
    <t>HBO</t>
  </si>
  <si>
    <t>UNI</t>
  </si>
  <si>
    <t>Regular</t>
  </si>
  <si>
    <t>Micro</t>
  </si>
  <si>
    <t>Extra</t>
  </si>
  <si>
    <t>Aanmaken</t>
  </si>
  <si>
    <t>Muteren</t>
  </si>
  <si>
    <t>verwijderen</t>
  </si>
  <si>
    <t>Publiceren</t>
  </si>
  <si>
    <t>Copy</t>
  </si>
  <si>
    <t>POC</t>
  </si>
  <si>
    <t>Small effort</t>
  </si>
  <si>
    <t>Medium effort</t>
  </si>
  <si>
    <t>Large effort</t>
  </si>
  <si>
    <t>BadgeCreation</t>
  </si>
  <si>
    <t>x</t>
  </si>
  <si>
    <t>EditBadge</t>
  </si>
  <si>
    <t>RemoveBadge</t>
  </si>
  <si>
    <t>badgeCreation</t>
  </si>
  <si>
    <t>CopyRegularBadge</t>
  </si>
  <si>
    <t>CopyMicroBadge</t>
  </si>
  <si>
    <t>CopyExtraBadge</t>
  </si>
  <si>
    <t>Type badge</t>
  </si>
  <si>
    <t>Toekennen</t>
  </si>
  <si>
    <t>Direct EPPN</t>
  </si>
  <si>
    <t>Direct mail</t>
  </si>
  <si>
    <t>Bulk</t>
  </si>
  <si>
    <t>Aanvraag backpack</t>
  </si>
  <si>
    <t>Aanvraag API student administratie systeem</t>
  </si>
  <si>
    <t>Out of scope</t>
  </si>
  <si>
    <t>AwardBadge</t>
  </si>
  <si>
    <t>Generieke badges acties (enkele test case)</t>
  </si>
  <si>
    <t>Actie</t>
  </si>
  <si>
    <t>Actie student</t>
  </si>
  <si>
    <t>Proof of concept</t>
  </si>
  <si>
    <t>Badge claimen</t>
  </si>
  <si>
    <t>Actie teacher</t>
  </si>
  <si>
    <t>Student → ReceiveBadge</t>
  </si>
  <si>
    <t>Badge niet accepteren</t>
  </si>
  <si>
    <t>Actie institution admin</t>
  </si>
  <si>
    <t>Badge publiek maken</t>
  </si>
  <si>
    <t>Actie system admin</t>
  </si>
  <si>
    <t>Student → EditBadge</t>
  </si>
  <si>
    <t>Badge delen</t>
  </si>
  <si>
    <t>BLOCK → always invalid</t>
  </si>
  <si>
    <t>Badge valideren - valide</t>
  </si>
  <si>
    <t>Badge valideren - invalide</t>
  </si>
  <si>
    <t>BadgeclassAdmin → Revoke badge</t>
  </si>
  <si>
    <t>Badge intrekken - MBO</t>
  </si>
  <si>
    <t>Badge intrekken - HBO</t>
  </si>
  <si>
    <t>Student → BadgeRemoval</t>
  </si>
  <si>
    <t>Badge intrekken - Uni</t>
  </si>
  <si>
    <t>StudentInteraction → awardBadge</t>
  </si>
  <si>
    <t>Aangevraagde badge toekennen</t>
  </si>
  <si>
    <t>InstitutionAdmin → EntityControl → Issuergroup → Delete</t>
  </si>
  <si>
    <t>Issuer groep verwijderen</t>
  </si>
  <si>
    <t>Instituut verwijderen</t>
  </si>
  <si>
    <t>student19@university-example.org</t>
  </si>
  <si>
    <t>Progress</t>
  </si>
  <si>
    <t>Rechten betreffende</t>
  </si>
  <si>
    <t>Valideren dat deze actie wel of niet mag</t>
  </si>
  <si>
    <t>Instelling</t>
  </si>
  <si>
    <t>Issuer</t>
  </si>
  <si>
    <t>Badges</t>
  </si>
  <si>
    <t>Backpack</t>
  </si>
  <si>
    <t>Koppeling student administratie systeem</t>
  </si>
  <si>
    <t>Inzien</t>
  </si>
  <si>
    <t>Verwijderen</t>
  </si>
  <si>
    <t>UserManagement → Issuers → Read</t>
  </si>
  <si>
    <t>UserManagement → Issuers → Create</t>
  </si>
  <si>
    <t>UserManagement → Issuers → Update</t>
  </si>
  <si>
    <t>UserManagement → Issuers → Delete</t>
  </si>
  <si>
    <t>Teacher → BadgeInteraction → BadgeCreation</t>
  </si>
  <si>
    <t>Teacher → BadgeInteraction → BadgeEdit</t>
  </si>
  <si>
    <t>Teacher → BadgeInteraction → BadgeRemoval</t>
  </si>
  <si>
    <t>Backpackpage → Login</t>
  </si>
  <si>
    <t>Entiteit</t>
  </si>
  <si>
    <t>Issuer group</t>
  </si>
  <si>
    <t>staff user</t>
  </si>
  <si>
    <t>InstitutionAdmin → EntityControl → Issuergroup → Create</t>
  </si>
  <si>
    <t>InstitutionAdmin → EntityControl → Issuergroup → Edit</t>
  </si>
  <si>
    <t>${role} → Invite</t>
  </si>
  <si>
    <t>EntityControl → UserManagement →  WOUser</t>
  </si>
  <si>
    <t>ROLE</t>
  </si>
  <si>
    <t>Create</t>
  </si>
  <si>
    <t>Invite</t>
  </si>
  <si>
    <t>Institution admin</t>
  </si>
  <si>
    <t>Issuergroup admin</t>
  </si>
  <si>
    <t>Issuer admin</t>
  </si>
  <si>
    <t>Badgeclass admin</t>
  </si>
  <si>
    <t>Succeed</t>
  </si>
  <si>
    <t>Fail</t>
  </si>
  <si>
    <t>Test possibility</t>
  </si>
  <si>
    <t>Issuergroup</t>
  </si>
  <si>
    <t>Test impossibility</t>
  </si>
  <si>
    <t>SUBJECT</t>
  </si>
  <si>
    <t>Badgeclass</t>
  </si>
  <si>
    <t>WO</t>
  </si>
  <si>
    <t>BadgeclassInteraction → Create</t>
  </si>
  <si>
    <t>Badgeclassinteraction → Create</t>
  </si>
  <si>
    <t>Tested</t>
  </si>
  <si>
    <t>Path to test</t>
  </si>
  <si>
    <t>Should not be possible</t>
  </si>
  <si>
    <t>Test missing asset</t>
  </si>
  <si>
    <t>Read</t>
  </si>
  <si>
    <t>BadgeclassInteraction → Read</t>
  </si>
  <si>
    <t>Not tested (yet)</t>
  </si>
  <si>
    <t>X</t>
  </si>
  <si>
    <t>Not to be tested</t>
  </si>
  <si>
    <t>Update</t>
  </si>
  <si>
    <t>BadgeclassInteraction → Update</t>
  </si>
  <si>
    <t>BadgeclassInteraction → Copy</t>
  </si>
  <si>
    <t>Delete</t>
  </si>
  <si>
    <t>BadgeclassInteraction → Delete</t>
  </si>
  <si>
    <t>IssuerInteraction → Create</t>
  </si>
  <si>
    <t>IssuerInteraction → Read</t>
  </si>
  <si>
    <t>IssuerInteraction → Update</t>
  </si>
  <si>
    <t>IssuerInteraction → Delete</t>
  </si>
  <si>
    <t>IssuergroupInteraction → Create</t>
  </si>
  <si>
    <t>IssuergroupInteraction → Read</t>
  </si>
  <si>
    <t>IssuergroupInteraction → Update</t>
  </si>
  <si>
    <t>IssuergroupInteraction → Delete</t>
  </si>
  <si>
    <t>Student based</t>
  </si>
  <si>
    <t>Request regular badge</t>
  </si>
  <si>
    <t>BasicsCatalogStudent</t>
  </si>
  <si>
    <t>Request extra curricular badge</t>
  </si>
  <si>
    <t>Request micro credential</t>
  </si>
  <si>
    <t>Receive badge</t>
  </si>
  <si>
    <t>Backpack → RequestedBadge</t>
  </si>
  <si>
    <t>Direct receive badge</t>
  </si>
  <si>
    <t>Backpack → ReceivedBadge</t>
  </si>
  <si>
    <t>Reject direct badge</t>
  </si>
  <si>
    <t>Accept direct badge</t>
  </si>
  <si>
    <t>Reject accepted badge</t>
  </si>
  <si>
    <t>Backpack → EditBadge</t>
  </si>
  <si>
    <t>Make badge public</t>
  </si>
  <si>
    <t>Backpack → ShareBadge</t>
  </si>
  <si>
    <t>Share badge</t>
  </si>
  <si>
    <t>Validate badge</t>
  </si>
  <si>
    <t>Have badge revoked</t>
  </si>
  <si>
    <t>Have badge denied</t>
  </si>
  <si>
    <t>Teacher based</t>
  </si>
  <si>
    <t>Deny request with reason</t>
  </si>
  <si>
    <t>StudentInteraction → DenyBadge</t>
  </si>
  <si>
    <t>Deny request without reason</t>
  </si>
  <si>
    <t>Revoke awarded badge</t>
  </si>
  <si>
    <t>StudentInteraction → RevokeBadge</t>
  </si>
  <si>
    <t>Award requested badge</t>
  </si>
  <si>
    <t>StudentInteraction → AwardBadge</t>
  </si>
  <si>
    <t>Direct award badge using EPPN</t>
  </si>
  <si>
    <t>Direct award using mail</t>
  </si>
  <si>
    <t>Folder/Inviter</t>
  </si>
  <si>
    <t>Invite badgeclass admin</t>
  </si>
  <si>
    <t>Invite → Badgeclass admin</t>
  </si>
  <si>
    <t>Edit badgeclass admin</t>
  </si>
  <si>
    <t>Invite issuer admin</t>
  </si>
  <si>
    <t>Invite → IssuerAdmin</t>
  </si>
  <si>
    <t>Edit issuer admin</t>
  </si>
  <si>
    <t>Invite issuergroup admin</t>
  </si>
  <si>
    <t>Invite → IssuergroupAdmin</t>
  </si>
  <si>
    <t>Edit issuergroup admin</t>
  </si>
  <si>
    <t>Invite institution admin</t>
  </si>
  <si>
    <t>Invite → InstitutionAdmin</t>
  </si>
  <si>
    <t>Edit institution admin</t>
  </si>
  <si>
    <t>System admin</t>
  </si>
  <si>
    <t>Yes</t>
  </si>
  <si>
    <t>Subject</t>
  </si>
  <si>
    <t>Tested on Full</t>
  </si>
  <si>
    <t>Tested on Partial</t>
  </si>
  <si>
    <t>Impossible</t>
  </si>
  <si>
    <t>Creation</t>
  </si>
  <si>
    <t>Institution creation</t>
  </si>
  <si>
    <t>OOS</t>
  </si>
  <si>
    <t>Almost</t>
  </si>
  <si>
    <t>Issuergroup creation</t>
  </si>
  <si>
    <t>Issuer creation</t>
  </si>
  <si>
    <t>Badgeclass creation</t>
  </si>
  <si>
    <t>Staff account creation</t>
  </si>
  <si>
    <t>Direct award badge</t>
  </si>
  <si>
    <t>Deny badge</t>
  </si>
  <si>
    <t>Revoke badge</t>
  </si>
  <si>
    <t>Request badge</t>
  </si>
  <si>
    <t>Reject badge</t>
  </si>
  <si>
    <t>Badgename</t>
  </si>
  <si>
    <t>Badgetype</t>
  </si>
  <si>
    <t>Receive/request/reward usage in testcase</t>
  </si>
  <si>
    <t>NOTES:</t>
  </si>
  <si>
    <t>Law and Politics</t>
  </si>
  <si>
    <t>Receive by Student → Backpack → ReceiveBadge</t>
  </si>
  <si>
    <t>Used by Institution admin to invite badgeclassadmin</t>
  </si>
  <si>
    <t>Circulation and Breathing</t>
  </si>
  <si>
    <t>Reward by Student → Backpack → EditBadge</t>
  </si>
  <si>
    <t>Introduction to Psychology</t>
  </si>
  <si>
    <t>Reward by Student → Backpack → ReceiveBadge</t>
  </si>
  <si>
    <t>Used to login by Student → Logout</t>
  </si>
  <si>
    <t>Cognitive Psychology</t>
  </si>
  <si>
    <t>Denied by Badgeadmin → DenyBadge</t>
  </si>
  <si>
    <t>Psychometrics</t>
  </si>
  <si>
    <t>Reward by Teacher → StudentInteraction → AwardBadge</t>
  </si>
  <si>
    <t>Group Dynamics</t>
  </si>
  <si>
    <t>Request by Student → BasicsCatalog</t>
  </si>
  <si>
    <t>Used by anonymous to look at</t>
  </si>
  <si>
    <t>Introduction to Political Science</t>
  </si>
  <si>
    <t>Rewarded by Student → Backpack → ShareBadge</t>
  </si>
  <si>
    <t>History of Political Thought</t>
  </si>
  <si>
    <t>Research Methods</t>
  </si>
  <si>
    <t>Read by Student → BasicsCatalog</t>
  </si>
  <si>
    <t>Growth and Development</t>
  </si>
  <si>
    <t>Rewarded by BadgeAdmin → AwardBadge</t>
  </si>
  <si>
    <t>Read by BadgeAdmin → SeeBadge. Used by badgeclass admin to invite badgeclass admin</t>
  </si>
  <si>
    <t>Regulation and Integration</t>
  </si>
  <si>
    <t>Digestion and Defense</t>
  </si>
  <si>
    <t>Tests without dedicated badge:</t>
  </si>
  <si>
    <t>Amount:</t>
  </si>
  <si>
    <t>Student → Requestedbadge</t>
  </si>
  <si>
    <t>Student → Backpack → Receivedbadge</t>
  </si>
  <si>
    <t>Description</t>
  </si>
  <si>
    <t>Effort level</t>
  </si>
  <si>
    <t>Edit institutions</t>
  </si>
  <si>
    <t>A system admin should be able to read, create, update, and delete institutions.</t>
  </si>
  <si>
    <t>High</t>
  </si>
  <si>
    <t>Validator</t>
  </si>
  <si>
    <t>The current validator docker does not run correctly, meaning that validating a shared badge is not yet tested</t>
  </si>
  <si>
    <t>Medium</t>
  </si>
  <si>
    <t>API testing</t>
  </si>
  <si>
    <t>There currently exists a small API testing branch, however this is not yet fully explored or implemented</t>
  </si>
  <si>
    <t>Award requested badge with experation date</t>
  </si>
  <si>
    <t>Direct receive badge + audit trail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</si>
</sst>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charset val="1"/>
    </font>
    <font>
      <sz val="11"/>
      <name val="Aptos Narrow"/>
      <family val="2"/>
      <charset val="1"/>
    </font>
  </fonts>
  <fills count="17">
    <fill>
      <patternFill patternType="none"/>
    </fill>
    <fill>
      <patternFill patternType="gray125"/>
    </fill>
    <fill>
      <patternFill patternType="solid">
        <fgColor rgb="FFDDE8CB"/>
        <bgColor rgb="FFFFD8CE"/>
      </patternFill>
    </fill>
    <fill>
      <patternFill patternType="solid">
        <fgColor rgb="FF00A933"/>
        <bgColor rgb="FF008000"/>
      </patternFill>
    </fill>
    <fill>
      <patternFill patternType="solid">
        <fgColor rgb="FFFFA6A6"/>
        <bgColor rgb="FFF1AB83"/>
      </patternFill>
    </fill>
    <fill>
      <patternFill patternType="solid">
        <fgColor theme="4" tint="0.39988402966399123"/>
        <bgColor rgb="FF00CCFF"/>
      </patternFill>
    </fill>
    <fill>
      <patternFill patternType="solid">
        <fgColor rgb="FFAFD095"/>
        <bgColor rgb="FF8ED973"/>
      </patternFill>
    </fill>
    <fill>
      <patternFill patternType="solid">
        <fgColor theme="5" tint="0.39988402966399123"/>
        <bgColor rgb="FFFFA6A6"/>
      </patternFill>
    </fill>
    <fill>
      <patternFill patternType="solid">
        <fgColor theme="6" tint="0.39988402966399123"/>
        <bgColor rgb="FF8ED973"/>
      </patternFill>
    </fill>
    <fill>
      <patternFill patternType="solid">
        <fgColor theme="8" tint="0.39988402966399123"/>
        <bgColor rgb="FFFFA6A6"/>
      </patternFill>
    </fill>
    <fill>
      <patternFill patternType="solid">
        <fgColor rgb="FFFFD8CE"/>
        <bgColor rgb="FFDDE8CB"/>
      </patternFill>
    </fill>
    <fill>
      <patternFill patternType="solid">
        <fgColor theme="9" tint="0.39988402966399123"/>
        <bgColor rgb="FFAFD095"/>
      </patternFill>
    </fill>
    <fill>
      <patternFill patternType="solid">
        <fgColor rgb="FFFF0000"/>
        <bgColor rgb="FF993300"/>
      </patternFill>
    </fill>
    <fill>
      <patternFill patternType="solid">
        <fgColor rgb="FFFFBF00"/>
        <bgColor rgb="FFFF9900"/>
      </patternFill>
    </fill>
    <fill>
      <patternFill patternType="solid">
        <fgColor rgb="FFD4EA6B"/>
        <bgColor rgb="FFAFD095"/>
      </patternFill>
    </fill>
    <fill>
      <patternFill patternType="solid">
        <fgColor rgb="FFB2B2B2"/>
        <bgColor rgb="FFAFD095"/>
      </patternFill>
    </fill>
    <fill>
      <patternFill patternType="solid">
        <fgColor rgb="FFEA7500"/>
        <bgColor rgb="FFFF9900"/>
      </patternFill>
    </fill>
  </fills>
  <borders count="31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/>
      <top style="medium">
        <color auto="1"/>
      </top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172">
    <xf numFmtId="0" fontId="0" fillId="0" borderId="0" xfId="0"/>
    <xf numFmtId="0" fontId="0" fillId="0" borderId="8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0" fillId="0" borderId="2" xfId="0" applyBorder="1" applyAlignment="1">
      <alignment horizontal="center"/>
    </xf>
    <xf numFmtId="0" fontId="0" fillId="0" borderId="3" xfId="0" applyBorder="1"/>
    <xf numFmtId="0" fontId="0" fillId="0" borderId="4" xfId="0" applyBorder="1" applyAlignment="1">
      <alignment horizontal="center"/>
    </xf>
    <xf numFmtId="0" fontId="0" fillId="0" borderId="5" xfId="0" applyBorder="1"/>
    <xf numFmtId="0" fontId="0" fillId="0" borderId="6" xfId="0" applyBorder="1" applyAlignment="1">
      <alignment horizontal="center"/>
    </xf>
    <xf numFmtId="0" fontId="0" fillId="0" borderId="0" xfId="0" applyAlignment="1">
      <alignment horizontal="center"/>
    </xf>
    <xf numFmtId="0" fontId="0" fillId="2" borderId="0" xfId="0" applyFill="1"/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2" xfId="0" applyBorder="1"/>
    <xf numFmtId="0" fontId="0" fillId="2" borderId="0" xfId="0" applyFill="1" applyAlignment="1">
      <alignment horizontal="right"/>
    </xf>
    <xf numFmtId="0" fontId="0" fillId="2" borderId="3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4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13" xfId="0" applyFill="1" applyBorder="1" applyAlignment="1">
      <alignment horizontal="center"/>
    </xf>
    <xf numFmtId="0" fontId="0" fillId="2" borderId="2" xfId="0" applyFill="1" applyBorder="1"/>
    <xf numFmtId="0" fontId="0" fillId="3" borderId="0" xfId="0" applyFill="1"/>
    <xf numFmtId="0" fontId="0" fillId="0" borderId="0" xfId="0" applyAlignment="1">
      <alignment horizontal="right"/>
    </xf>
    <xf numFmtId="0" fontId="0" fillId="0" borderId="4" xfId="0" applyBorder="1"/>
    <xf numFmtId="0" fontId="0" fillId="2" borderId="4" xfId="0" applyFill="1" applyBorder="1"/>
    <xf numFmtId="0" fontId="0" fillId="3" borderId="0" xfId="0" applyFill="1" applyAlignment="1">
      <alignment horizontal="right"/>
    </xf>
    <xf numFmtId="0" fontId="0" fillId="0" borderId="5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6" xfId="0" applyBorder="1"/>
    <xf numFmtId="0" fontId="0" fillId="0" borderId="13" xfId="0" applyBorder="1" applyAlignment="1">
      <alignment horizontal="center"/>
    </xf>
    <xf numFmtId="0" fontId="0" fillId="0" borderId="11" xfId="0" applyBorder="1" applyAlignment="1">
      <alignment horizontal="center" wrapText="1"/>
    </xf>
    <xf numFmtId="0" fontId="0" fillId="4" borderId="0" xfId="0" applyFill="1"/>
    <xf numFmtId="0" fontId="0" fillId="4" borderId="3" xfId="0" applyFill="1" applyBorder="1" applyAlignment="1">
      <alignment horizontal="center"/>
    </xf>
    <xf numFmtId="0" fontId="0" fillId="4" borderId="0" xfId="0" applyFill="1" applyAlignment="1">
      <alignment horizontal="center"/>
    </xf>
    <xf numFmtId="0" fontId="0" fillId="4" borderId="4" xfId="0" applyFill="1" applyBorder="1" applyAlignment="1">
      <alignment horizontal="center"/>
    </xf>
    <xf numFmtId="0" fontId="0" fillId="4" borderId="4" xfId="0" applyFill="1" applyBorder="1"/>
    <xf numFmtId="0" fontId="0" fillId="0" borderId="0" xfId="0" applyAlignment="1">
      <alignment wrapText="1"/>
    </xf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3" borderId="0" xfId="0" applyFill="1" applyAlignment="1">
      <alignment wrapText="1"/>
    </xf>
    <xf numFmtId="0" fontId="0" fillId="6" borderId="0" xfId="0" applyFill="1" applyAlignment="1">
      <alignment wrapText="1"/>
    </xf>
    <xf numFmtId="0" fontId="0" fillId="8" borderId="0" xfId="0" applyFill="1" applyAlignment="1">
      <alignment vertical="top"/>
    </xf>
    <xf numFmtId="0" fontId="0" fillId="0" borderId="0" xfId="0" applyAlignment="1">
      <alignment horizontal="center" vertical="center"/>
    </xf>
    <xf numFmtId="0" fontId="0" fillId="10" borderId="0" xfId="0" applyFill="1"/>
    <xf numFmtId="0" fontId="0" fillId="10" borderId="4" xfId="0" applyFill="1" applyBorder="1" applyAlignment="1">
      <alignment horizontal="center"/>
    </xf>
    <xf numFmtId="0" fontId="0" fillId="9" borderId="3" xfId="0" applyFill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9" borderId="3" xfId="0" applyFill="1" applyBorder="1" applyAlignment="1">
      <alignment horizontal="center"/>
    </xf>
    <xf numFmtId="0" fontId="0" fillId="9" borderId="0" xfId="0" applyFill="1" applyAlignment="1">
      <alignment horizontal="center"/>
    </xf>
    <xf numFmtId="0" fontId="0" fillId="9" borderId="4" xfId="0" applyFill="1" applyBorder="1" applyAlignment="1">
      <alignment horizontal="center"/>
    </xf>
    <xf numFmtId="0" fontId="0" fillId="0" borderId="3" xfId="0" applyBorder="1" applyAlignment="1">
      <alignment horizontal="center" vertical="center"/>
    </xf>
    <xf numFmtId="0" fontId="0" fillId="8" borderId="0" xfId="0" applyFill="1" applyAlignment="1">
      <alignment horizontal="center" vertical="center"/>
    </xf>
    <xf numFmtId="0" fontId="0" fillId="3" borderId="0" xfId="0" applyFill="1" applyAlignment="1">
      <alignment horizontal="center"/>
    </xf>
    <xf numFmtId="0" fontId="0" fillId="0" borderId="0" xfId="0" applyAlignment="1">
      <alignment horizontal="left"/>
    </xf>
    <xf numFmtId="0" fontId="0" fillId="7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5" borderId="3" xfId="0" applyFill="1" applyBorder="1" applyAlignment="1">
      <alignment horizontal="center"/>
    </xf>
    <xf numFmtId="0" fontId="0" fillId="9" borderId="4" xfId="0" applyFill="1" applyBorder="1" applyAlignment="1">
      <alignment horizontal="center" vertical="center"/>
    </xf>
    <xf numFmtId="0" fontId="0" fillId="0" borderId="14" xfId="0" applyBorder="1"/>
    <xf numFmtId="0" fontId="0" fillId="0" borderId="3" xfId="0" applyBorder="1" applyAlignment="1">
      <alignment vertical="center"/>
    </xf>
    <xf numFmtId="0" fontId="0" fillId="0" borderId="0" xfId="0" applyAlignment="1">
      <alignment vertical="center"/>
    </xf>
    <xf numFmtId="0" fontId="0" fillId="0" borderId="4" xfId="0" applyBorder="1" applyAlignment="1">
      <alignment vertical="center"/>
    </xf>
    <xf numFmtId="0" fontId="0" fillId="0" borderId="1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10" borderId="4" xfId="0" applyFill="1" applyBorder="1" applyAlignment="1">
      <alignment horizontal="center" vertical="center"/>
    </xf>
    <xf numFmtId="0" fontId="0" fillId="11" borderId="0" xfId="0" applyFill="1" applyAlignment="1">
      <alignment horizontal="center" vertical="center"/>
    </xf>
    <xf numFmtId="0" fontId="0" fillId="11" borderId="3" xfId="0" applyFill="1" applyBorder="1" applyAlignment="1">
      <alignment horizontal="center" vertical="center"/>
    </xf>
    <xf numFmtId="0" fontId="0" fillId="11" borderId="4" xfId="0" applyFill="1" applyBorder="1" applyAlignment="1">
      <alignment horizontal="center" vertical="center"/>
    </xf>
    <xf numFmtId="0" fontId="0" fillId="0" borderId="9" xfId="0" applyBorder="1"/>
    <xf numFmtId="0" fontId="0" fillId="0" borderId="8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12" borderId="0" xfId="0" applyFill="1"/>
    <xf numFmtId="0" fontId="0" fillId="3" borderId="1" xfId="0" applyFill="1" applyBorder="1"/>
    <xf numFmtId="0" fontId="0" fillId="12" borderId="5" xfId="0" applyFill="1" applyBorder="1"/>
    <xf numFmtId="0" fontId="0" fillId="12" borderId="4" xfId="0" applyFill="1" applyBorder="1"/>
    <xf numFmtId="0" fontId="0" fillId="0" borderId="15" xfId="0" applyBorder="1"/>
    <xf numFmtId="0" fontId="0" fillId="3" borderId="6" xfId="0" applyFill="1" applyBorder="1"/>
    <xf numFmtId="0" fontId="0" fillId="0" borderId="16" xfId="0" applyBorder="1" applyAlignment="1">
      <alignment horizontal="center"/>
    </xf>
    <xf numFmtId="0" fontId="0" fillId="0" borderId="17" xfId="0" applyBorder="1"/>
    <xf numFmtId="0" fontId="0" fillId="13" borderId="16" xfId="0" applyFill="1" applyBorder="1"/>
    <xf numFmtId="0" fontId="0" fillId="3" borderId="16" xfId="0" applyFill="1" applyBorder="1"/>
    <xf numFmtId="0" fontId="0" fillId="0" borderId="19" xfId="0" applyBorder="1"/>
    <xf numFmtId="0" fontId="0" fillId="3" borderId="20" xfId="0" applyFill="1" applyBorder="1"/>
    <xf numFmtId="0" fontId="0" fillId="0" borderId="21" xfId="0" applyBorder="1"/>
    <xf numFmtId="0" fontId="0" fillId="13" borderId="22" xfId="0" applyFill="1" applyBorder="1"/>
    <xf numFmtId="0" fontId="0" fillId="3" borderId="22" xfId="0" applyFill="1" applyBorder="1"/>
    <xf numFmtId="0" fontId="0" fillId="14" borderId="23" xfId="0" applyFill="1" applyBorder="1"/>
    <xf numFmtId="0" fontId="0" fillId="0" borderId="24" xfId="0" applyBorder="1"/>
    <xf numFmtId="0" fontId="0" fillId="14" borderId="22" xfId="0" applyFill="1" applyBorder="1"/>
    <xf numFmtId="0" fontId="0" fillId="13" borderId="23" xfId="0" applyFill="1" applyBorder="1"/>
    <xf numFmtId="0" fontId="0" fillId="0" borderId="23" xfId="0" applyBorder="1" applyAlignment="1">
      <alignment horizontal="center"/>
    </xf>
    <xf numFmtId="0" fontId="0" fillId="15" borderId="25" xfId="0" applyFill="1" applyBorder="1"/>
    <xf numFmtId="0" fontId="0" fillId="15" borderId="16" xfId="0" applyFill="1" applyBorder="1"/>
    <xf numFmtId="0" fontId="0" fillId="15" borderId="22" xfId="0" applyFill="1" applyBorder="1"/>
    <xf numFmtId="0" fontId="0" fillId="15" borderId="26" xfId="0" applyFill="1" applyBorder="1"/>
    <xf numFmtId="0" fontId="0" fillId="3" borderId="26" xfId="0" applyFill="1" applyBorder="1"/>
    <xf numFmtId="0" fontId="0" fillId="14" borderId="16" xfId="0" applyFill="1" applyBorder="1"/>
    <xf numFmtId="0" fontId="0" fillId="0" borderId="13" xfId="0" applyBorder="1"/>
    <xf numFmtId="0" fontId="0" fillId="3" borderId="13" xfId="0" applyFill="1" applyBorder="1"/>
    <xf numFmtId="0" fontId="0" fillId="3" borderId="2" xfId="0" applyFill="1" applyBorder="1"/>
    <xf numFmtId="0" fontId="0" fillId="0" borderId="21" xfId="0" applyBorder="1" applyAlignment="1">
      <alignment horizontal="center"/>
    </xf>
    <xf numFmtId="0" fontId="0" fillId="13" borderId="3" xfId="0" applyFill="1" applyBorder="1"/>
    <xf numFmtId="0" fontId="0" fillId="13" borderId="0" xfId="0" applyFill="1"/>
    <xf numFmtId="0" fontId="0" fillId="13" borderId="4" xfId="0" applyFill="1" applyBorder="1"/>
    <xf numFmtId="0" fontId="0" fillId="3" borderId="3" xfId="0" applyFill="1" applyBorder="1"/>
    <xf numFmtId="0" fontId="0" fillId="3" borderId="4" xfId="0" applyFill="1" applyBorder="1"/>
    <xf numFmtId="0" fontId="0" fillId="13" borderId="5" xfId="0" applyFill="1" applyBorder="1"/>
    <xf numFmtId="0" fontId="0" fillId="13" borderId="14" xfId="0" applyFill="1" applyBorder="1"/>
    <xf numFmtId="0" fontId="0" fillId="13" borderId="6" xfId="0" applyFill="1" applyBorder="1"/>
    <xf numFmtId="0" fontId="0" fillId="3" borderId="5" xfId="0" applyFill="1" applyBorder="1"/>
    <xf numFmtId="0" fontId="0" fillId="3" borderId="14" xfId="0" applyFill="1" applyBorder="1"/>
    <xf numFmtId="0" fontId="0" fillId="3" borderId="7" xfId="0" applyFill="1" applyBorder="1"/>
    <xf numFmtId="0" fontId="0" fillId="15" borderId="7" xfId="0" applyFill="1" applyBorder="1"/>
    <xf numFmtId="0" fontId="0" fillId="15" borderId="2" xfId="0" applyFill="1" applyBorder="1"/>
    <xf numFmtId="0" fontId="0" fillId="3" borderId="12" xfId="0" applyFill="1" applyBorder="1"/>
    <xf numFmtId="0" fontId="0" fillId="15" borderId="12" xfId="0" applyFill="1" applyBorder="1"/>
    <xf numFmtId="0" fontId="0" fillId="15" borderId="4" xfId="0" applyFill="1" applyBorder="1"/>
    <xf numFmtId="0" fontId="0" fillId="3" borderId="15" xfId="0" applyFill="1" applyBorder="1"/>
    <xf numFmtId="0" fontId="0" fillId="15" borderId="15" xfId="0" applyFill="1" applyBorder="1"/>
    <xf numFmtId="0" fontId="0" fillId="15" borderId="6" xfId="0" applyFill="1" applyBorder="1"/>
    <xf numFmtId="0" fontId="0" fillId="13" borderId="7" xfId="0" applyFill="1" applyBorder="1"/>
    <xf numFmtId="0" fontId="0" fillId="13" borderId="12" xfId="0" applyFill="1" applyBorder="1"/>
    <xf numFmtId="0" fontId="0" fillId="14" borderId="12" xfId="0" applyFill="1" applyBorder="1"/>
    <xf numFmtId="0" fontId="0" fillId="14" borderId="7" xfId="0" applyFill="1" applyBorder="1"/>
    <xf numFmtId="0" fontId="0" fillId="16" borderId="16" xfId="0" applyFill="1" applyBorder="1"/>
    <xf numFmtId="0" fontId="0" fillId="16" borderId="22" xfId="0" applyFill="1" applyBorder="1"/>
    <xf numFmtId="0" fontId="1" fillId="16" borderId="5" xfId="0" applyFont="1" applyFill="1" applyBorder="1"/>
    <xf numFmtId="0" fontId="1" fillId="16" borderId="6" xfId="0" applyFont="1" applyFill="1" applyBorder="1"/>
    <xf numFmtId="0" fontId="0" fillId="16" borderId="26" xfId="0" applyFill="1" applyBorder="1"/>
    <xf numFmtId="0" fontId="0" fillId="3" borderId="27" xfId="0" applyFill="1" applyBorder="1" applyAlignment="1">
      <alignment horizontal="center" vertical="center"/>
    </xf>
    <xf numFmtId="0" fontId="0" fillId="0" borderId="16" xfId="0" applyBorder="1"/>
    <xf numFmtId="0" fontId="0" fillId="14" borderId="23" xfId="0" applyFill="1" applyBorder="1" applyAlignment="1">
      <alignment horizontal="center" vertical="center"/>
    </xf>
    <xf numFmtId="0" fontId="0" fillId="0" borderId="29" xfId="0" applyBorder="1"/>
    <xf numFmtId="0" fontId="1" fillId="16" borderId="16" xfId="0" applyFont="1" applyFill="1" applyBorder="1" applyAlignment="1">
      <alignment horizontal="center" vertical="center"/>
    </xf>
    <xf numFmtId="0" fontId="0" fillId="13" borderId="23" xfId="0" applyFill="1" applyBorder="1" applyAlignment="1">
      <alignment horizontal="center" vertical="center"/>
    </xf>
    <xf numFmtId="0" fontId="0" fillId="3" borderId="22" xfId="0" applyFill="1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0" fillId="15" borderId="23" xfId="0" applyFill="1" applyBorder="1" applyAlignment="1">
      <alignment horizontal="center" vertical="center"/>
    </xf>
    <xf numFmtId="0" fontId="1" fillId="16" borderId="6" xfId="0" applyFont="1" applyFill="1" applyBorder="1" applyAlignment="1">
      <alignment horizontal="center" vertical="center"/>
    </xf>
    <xf numFmtId="0" fontId="0" fillId="0" borderId="30" xfId="0" applyBorder="1"/>
    <xf numFmtId="0" fontId="0" fillId="3" borderId="26" xfId="0" applyFill="1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3" borderId="16" xfId="0" applyFill="1" applyBorder="1" applyAlignment="1">
      <alignment horizontal="center" vertical="center"/>
    </xf>
    <xf numFmtId="0" fontId="0" fillId="0" borderId="1" xfId="0" applyBorder="1" applyAlignment="1">
      <alignment wrapText="1"/>
    </xf>
    <xf numFmtId="0" fontId="0" fillId="0" borderId="3" xfId="0" applyBorder="1" applyAlignment="1">
      <alignment wrapText="1"/>
    </xf>
    <xf numFmtId="0" fontId="0" fillId="0" borderId="4" xfId="0" applyBorder="1" applyAlignment="1">
      <alignment wrapText="1"/>
    </xf>
    <xf numFmtId="0" fontId="0" fillId="0" borderId="5" xfId="0" applyBorder="1" applyAlignment="1">
      <alignment wrapText="1"/>
    </xf>
    <xf numFmtId="0" fontId="0" fillId="0" borderId="0" xfId="0" applyAlignment="1">
      <alignment vertical="top"/>
    </xf>
    <xf numFmtId="0" fontId="0" fillId="0" borderId="0" xfId="0" applyAlignment="1">
      <alignment vertical="top" wrapText="1"/>
    </xf>
    <xf numFmtId="0" fontId="0" fillId="0" borderId="8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7" xfId="0" applyBorder="1"/>
    <xf numFmtId="0" fontId="0" fillId="0" borderId="18" xfId="0" applyBorder="1" applyAlignment="1">
      <alignment vertical="center"/>
    </xf>
    <xf numFmtId="0" fontId="0" fillId="0" borderId="28" xfId="0" applyBorder="1" applyAlignment="1">
      <alignment horizontal="center" vertical="center"/>
    </xf>
    <xf numFmtId="0" fontId="0" fillId="0" borderId="28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45D65A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2B2B2"/>
      <rgbColor rgb="FF808080"/>
      <rgbColor rgb="FF9999FF"/>
      <rgbColor rgb="FF993366"/>
      <rgbColor rgb="FFFFFFCC"/>
      <rgbColor rgb="FFCCFFFF"/>
      <rgbColor rgb="FF660066"/>
      <rgbColor rgb="FFF1AB83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DE8CB"/>
      <rgbColor rgb="FFD4EA6B"/>
      <rgbColor rgb="FFAFD095"/>
      <rgbColor rgb="FFFFA6A6"/>
      <rgbColor rgb="FFD86ECC"/>
      <rgbColor rgb="FFFFD8CE"/>
      <rgbColor rgb="FF3366FF"/>
      <rgbColor rgb="FF44B0E2"/>
      <rgbColor rgb="FF8ED973"/>
      <rgbColor rgb="FFFFBF00"/>
      <rgbColor rgb="FFFF9900"/>
      <rgbColor rgb="FFEA7500"/>
      <rgbColor rgb="FF666699"/>
      <rgbColor rgb="FF969696"/>
      <rgbColor rgb="FF003366"/>
      <rgbColor rgb="FF00A933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4:C8"/>
  <sheetViews>
    <sheetView zoomScaleNormal="100" workbookViewId="0">
      <selection activeCell="D11" sqref="D11"/>
    </sheetView>
  </sheetViews>
  <sheetFormatPr baseColWidth="10" defaultColWidth="10.1640625" defaultRowHeight="15" x14ac:dyDescent="0.2"/>
  <cols>
    <col min="2" max="2" width="29.5" customWidth="1"/>
  </cols>
  <sheetData>
    <row r="4" spans="2:3" x14ac:dyDescent="0.2">
      <c r="B4" s="4" t="s">
        <v>0</v>
      </c>
      <c r="C4" s="5">
        <f>COUNTA('Badgeclass interaction'!F4:F9,'Badgeclass interaction'!G4:G18,'Issuer interaction'!F4:F9,'Issuer interaction'!G4:G15,'Issuergroup interaction'!F4:F9,'Issuergroup interaction'!G4:G15,'Student interaction'!F4:H22,'Admin rights'!F5:F11,'Admin rights'!F13,'Admin rights'!F15,'Admin rights'!G11:G17,'Admin rights'!G19,'Admin rights'!G21,'Admin rights'!H17:H23,'Admin rights'!H25,'Admin rights'!H27,'Admin rights'!I23:I28)</f>
        <v>147</v>
      </c>
    </row>
    <row r="5" spans="2:3" x14ac:dyDescent="0.2">
      <c r="B5" s="6" t="s">
        <v>1</v>
      </c>
      <c r="C5" s="7">
        <f>COUNTA('Badgeclass interaction'!G4:G18,'Badgeclass interaction'!F6:F9,'Issuer interaction'!F4,'Issuer interaction'!F8:F9,'Issuer interaction'!G4:G6,'Issuer interaction'!G8:G15,'Issuergroup interaction'!G4:G15,'Issuergroup interaction'!F8:F9,'Issuergroup interaction'!F4,'Student interaction'!F4:H4,'Student interaction'!F8:H12,'Student interaction'!F17:H17,'Student interaction'!F18:G18,'Student interaction'!F20:H20,'Student interaction'!F21:G22,'Admin rights'!F5:F10,'Admin rights'!F15,'Admin rights'!G11:G17,'Admin rights'!H17:H23,'Admin rights'!I23:I28)</f>
        <v>105</v>
      </c>
    </row>
    <row r="6" spans="2:3" x14ac:dyDescent="0.2">
      <c r="B6" s="6" t="s">
        <v>2</v>
      </c>
      <c r="C6" s="7">
        <f>COUNTA('Badgeclass interaction'!F4:F5,'Issuer interaction'!F5:F7,'Issuer interaction'!G7,'Issuergroup interaction'!F5:F7,'Student interaction'!F7:H7,'Student interaction'!F13:H16,'Student interaction'!F19:H19,'Student interaction'!H18,'Student interaction'!H21:H22,'Admin rights'!F11,'Admin rights'!F13,'Admin rights'!G19,'Admin rights'!G21,'Admin rights'!H25,'Admin rights'!H27)</f>
        <v>36</v>
      </c>
    </row>
    <row r="7" spans="2:3" x14ac:dyDescent="0.2">
      <c r="B7" s="6" t="s">
        <v>3</v>
      </c>
      <c r="C7" s="7">
        <v>0</v>
      </c>
    </row>
    <row r="8" spans="2:3" x14ac:dyDescent="0.2">
      <c r="B8" s="8" t="s">
        <v>4</v>
      </c>
      <c r="C8" s="9">
        <f>C4-C5-C6</f>
        <v>6</v>
      </c>
    </row>
  </sheetData>
  <pageMargins left="0.78749999999999998" right="0.78749999999999998" top="1.05277777777778" bottom="1.05277777777778" header="0.78749999999999998" footer="0.78749999999999998"/>
  <pageSetup paperSize="9" orientation="portrait" horizontalDpi="300" verticalDpi="300"/>
  <headerFooter>
    <oddHeader>&amp;C&amp;"Times New Roman,Regular"&amp;12&amp;Kffffff&amp;A</oddHeader>
    <oddFooter>&amp;C&amp;"Times New Roman,Regular"&amp;12&amp;KffffffPagina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S35"/>
  <sheetViews>
    <sheetView zoomScale="121" zoomScaleNormal="121" workbookViewId="0">
      <selection activeCell="A4" sqref="A4"/>
    </sheetView>
  </sheetViews>
  <sheetFormatPr baseColWidth="10" defaultColWidth="8.6640625" defaultRowHeight="15" x14ac:dyDescent="0.2"/>
  <cols>
    <col min="1" max="1" width="20" customWidth="1"/>
    <col min="2" max="2" width="3.33203125" customWidth="1"/>
    <col min="3" max="5" width="17.33203125" style="10" customWidth="1"/>
    <col min="6" max="8" width="11.1640625" style="10" customWidth="1"/>
    <col min="9" max="9" width="9.1640625" style="10" customWidth="1"/>
    <col min="10" max="10" width="10" style="10" customWidth="1"/>
    <col min="11" max="11" width="9.1640625" style="10" customWidth="1"/>
    <col min="12" max="13" width="19.5" style="10" customWidth="1"/>
    <col min="16" max="16" width="9" style="10" customWidth="1"/>
    <col min="17" max="17" width="10.6640625" style="10" customWidth="1"/>
    <col min="18" max="18" width="12.83203125" style="10" customWidth="1"/>
    <col min="19" max="19" width="10.5" style="10" customWidth="1"/>
  </cols>
  <sheetData>
    <row r="1" spans="1:19" s="11" customFormat="1" x14ac:dyDescent="0.2">
      <c r="A1"/>
      <c r="B1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/>
      <c r="O1"/>
      <c r="P1" s="10"/>
      <c r="Q1" s="10"/>
      <c r="R1" s="10"/>
      <c r="S1" s="10"/>
    </row>
    <row r="3" spans="1:19" x14ac:dyDescent="0.2">
      <c r="B3">
        <f>COUNTA(B5:B35)</f>
        <v>31</v>
      </c>
      <c r="C3" s="165" t="s">
        <v>5</v>
      </c>
      <c r="D3" s="165"/>
      <c r="E3" s="165"/>
      <c r="F3" s="166" t="s">
        <v>6</v>
      </c>
      <c r="G3" s="166"/>
      <c r="H3" s="166"/>
      <c r="J3" s="167" t="s">
        <v>7</v>
      </c>
      <c r="K3" s="167"/>
      <c r="L3" s="167"/>
      <c r="M3" s="167"/>
      <c r="N3" s="167"/>
      <c r="P3" s="166" t="s">
        <v>8</v>
      </c>
      <c r="Q3" s="166"/>
      <c r="R3" s="166"/>
      <c r="S3" s="166"/>
    </row>
    <row r="4" spans="1:19" x14ac:dyDescent="0.2">
      <c r="A4" t="s">
        <v>9</v>
      </c>
      <c r="C4" s="12" t="s">
        <v>10</v>
      </c>
      <c r="D4" s="13" t="s">
        <v>11</v>
      </c>
      <c r="E4" s="13" t="s">
        <v>12</v>
      </c>
      <c r="F4" s="12" t="s">
        <v>13</v>
      </c>
      <c r="G4" s="1" t="s">
        <v>14</v>
      </c>
      <c r="H4" s="14" t="s">
        <v>15</v>
      </c>
      <c r="J4" s="15" t="s">
        <v>16</v>
      </c>
      <c r="K4" s="16" t="s">
        <v>17</v>
      </c>
      <c r="L4" s="10" t="s">
        <v>18</v>
      </c>
      <c r="M4" s="1" t="s">
        <v>19</v>
      </c>
      <c r="N4" s="17" t="s">
        <v>20</v>
      </c>
      <c r="P4" s="12" t="s">
        <v>21</v>
      </c>
      <c r="Q4" s="12" t="s">
        <v>22</v>
      </c>
      <c r="R4" s="12" t="s">
        <v>23</v>
      </c>
      <c r="S4" s="1" t="s">
        <v>24</v>
      </c>
    </row>
    <row r="5" spans="1:19" x14ac:dyDescent="0.2">
      <c r="A5" s="11" t="s">
        <v>25</v>
      </c>
      <c r="B5" s="18" t="s">
        <v>26</v>
      </c>
      <c r="C5" s="19" t="s">
        <v>26</v>
      </c>
      <c r="D5" s="20"/>
      <c r="E5" s="20"/>
      <c r="F5" s="19" t="s">
        <v>26</v>
      </c>
      <c r="G5" s="20"/>
      <c r="H5" s="21"/>
      <c r="I5" s="20"/>
      <c r="J5" s="22" t="s">
        <v>26</v>
      </c>
      <c r="K5" s="23"/>
      <c r="L5" s="23"/>
      <c r="M5" s="20"/>
      <c r="N5" s="24"/>
      <c r="O5" s="11"/>
      <c r="P5" s="19" t="s">
        <v>26</v>
      </c>
      <c r="Q5" s="20"/>
      <c r="R5" s="20"/>
      <c r="S5" s="21"/>
    </row>
    <row r="6" spans="1:19" x14ac:dyDescent="0.2">
      <c r="A6" s="25" t="s">
        <v>27</v>
      </c>
      <c r="B6" s="26" t="s">
        <v>26</v>
      </c>
      <c r="C6" s="15" t="s">
        <v>26</v>
      </c>
      <c r="F6" s="15" t="s">
        <v>26</v>
      </c>
      <c r="H6" s="7"/>
      <c r="J6" s="15"/>
      <c r="K6" s="10" t="s">
        <v>26</v>
      </c>
      <c r="N6" s="27"/>
      <c r="P6" s="15"/>
      <c r="R6" s="10" t="s">
        <v>26</v>
      </c>
      <c r="S6" s="7"/>
    </row>
    <row r="7" spans="1:19" x14ac:dyDescent="0.2">
      <c r="A7" s="25" t="s">
        <v>28</v>
      </c>
      <c r="B7" s="26" t="s">
        <v>26</v>
      </c>
      <c r="C7" s="15" t="s">
        <v>26</v>
      </c>
      <c r="F7" s="15" t="s">
        <v>26</v>
      </c>
      <c r="H7" s="7"/>
      <c r="J7" s="15"/>
      <c r="L7" s="10" t="s">
        <v>26</v>
      </c>
      <c r="N7" s="27"/>
      <c r="P7" s="15"/>
      <c r="Q7" s="10" t="s">
        <v>26</v>
      </c>
      <c r="S7" s="7"/>
    </row>
    <row r="8" spans="1:19" x14ac:dyDescent="0.2">
      <c r="A8" s="11" t="s">
        <v>29</v>
      </c>
      <c r="B8" s="18" t="s">
        <v>26</v>
      </c>
      <c r="C8" s="19" t="s">
        <v>26</v>
      </c>
      <c r="D8" s="20"/>
      <c r="E8" s="20"/>
      <c r="F8" s="19"/>
      <c r="G8" s="20" t="s">
        <v>26</v>
      </c>
      <c r="H8" s="21"/>
      <c r="I8" s="20"/>
      <c r="J8" s="19" t="s">
        <v>26</v>
      </c>
      <c r="K8" s="20"/>
      <c r="L8" s="20"/>
      <c r="M8" s="20"/>
      <c r="N8" s="28"/>
      <c r="O8" s="11"/>
      <c r="P8" s="19" t="s">
        <v>26</v>
      </c>
      <c r="Q8" s="20"/>
      <c r="R8" s="20"/>
      <c r="S8" s="21"/>
    </row>
    <row r="9" spans="1:19" x14ac:dyDescent="0.2">
      <c r="A9" s="25" t="s">
        <v>27</v>
      </c>
      <c r="B9" s="26" t="s">
        <v>26</v>
      </c>
      <c r="C9" s="15" t="s">
        <v>26</v>
      </c>
      <c r="F9" s="15"/>
      <c r="G9" s="10" t="s">
        <v>26</v>
      </c>
      <c r="H9" s="7"/>
      <c r="J9" s="15"/>
      <c r="K9" s="10" t="s">
        <v>26</v>
      </c>
      <c r="N9" s="27"/>
      <c r="P9" s="15"/>
      <c r="R9" s="10" t="s">
        <v>26</v>
      </c>
      <c r="S9" s="7"/>
    </row>
    <row r="10" spans="1:19" x14ac:dyDescent="0.2">
      <c r="A10" s="25" t="s">
        <v>28</v>
      </c>
      <c r="B10" s="26" t="s">
        <v>26</v>
      </c>
      <c r="C10" s="15" t="s">
        <v>26</v>
      </c>
      <c r="F10" s="15"/>
      <c r="G10" s="10" t="s">
        <v>26</v>
      </c>
      <c r="H10" s="7"/>
      <c r="J10" s="15"/>
      <c r="L10" s="10" t="s">
        <v>26</v>
      </c>
      <c r="N10" s="27"/>
      <c r="P10" s="15"/>
      <c r="Q10" s="10" t="s">
        <v>26</v>
      </c>
      <c r="S10" s="7"/>
    </row>
    <row r="11" spans="1:19" x14ac:dyDescent="0.2">
      <c r="A11" s="11" t="s">
        <v>29</v>
      </c>
      <c r="B11" s="18" t="s">
        <v>26</v>
      </c>
      <c r="C11" s="19" t="s">
        <v>26</v>
      </c>
      <c r="D11" s="20"/>
      <c r="E11" s="20"/>
      <c r="F11" s="19"/>
      <c r="G11" s="20"/>
      <c r="H11" s="21" t="s">
        <v>26</v>
      </c>
      <c r="I11" s="20"/>
      <c r="J11" s="19" t="s">
        <v>26</v>
      </c>
      <c r="K11" s="20"/>
      <c r="L11" s="20"/>
      <c r="M11" s="20"/>
      <c r="N11" s="28"/>
      <c r="O11" s="11"/>
      <c r="P11" s="19" t="s">
        <v>26</v>
      </c>
      <c r="Q11" s="20"/>
      <c r="R11" s="20"/>
      <c r="S11" s="21"/>
    </row>
    <row r="12" spans="1:19" x14ac:dyDescent="0.2">
      <c r="A12" s="25" t="s">
        <v>27</v>
      </c>
      <c r="B12" s="26" t="s">
        <v>26</v>
      </c>
      <c r="C12" s="15" t="s">
        <v>26</v>
      </c>
      <c r="F12" s="15"/>
      <c r="H12" s="7" t="s">
        <v>26</v>
      </c>
      <c r="J12" s="15"/>
      <c r="K12" s="10" t="s">
        <v>26</v>
      </c>
      <c r="N12" s="27"/>
      <c r="P12" s="15"/>
      <c r="R12" s="10" t="s">
        <v>26</v>
      </c>
      <c r="S12" s="7"/>
    </row>
    <row r="13" spans="1:19" x14ac:dyDescent="0.2">
      <c r="A13" s="25" t="s">
        <v>28</v>
      </c>
      <c r="B13" s="26" t="s">
        <v>26</v>
      </c>
      <c r="C13" s="15" t="s">
        <v>26</v>
      </c>
      <c r="F13" s="15"/>
      <c r="H13" s="7" t="s">
        <v>26</v>
      </c>
      <c r="J13" s="15"/>
      <c r="L13" s="10" t="s">
        <v>26</v>
      </c>
      <c r="N13" s="27"/>
      <c r="P13" s="15"/>
      <c r="Q13" s="10" t="s">
        <v>26</v>
      </c>
      <c r="S13" s="7"/>
    </row>
    <row r="14" spans="1:19" x14ac:dyDescent="0.2">
      <c r="A14" s="11" t="s">
        <v>29</v>
      </c>
      <c r="B14" s="18" t="s">
        <v>26</v>
      </c>
      <c r="C14" s="19"/>
      <c r="D14" s="20" t="s">
        <v>26</v>
      </c>
      <c r="E14" s="20"/>
      <c r="F14" s="19" t="s">
        <v>26</v>
      </c>
      <c r="G14" s="20"/>
      <c r="H14" s="21"/>
      <c r="I14" s="20"/>
      <c r="J14" s="19" t="s">
        <v>26</v>
      </c>
      <c r="K14" s="20"/>
      <c r="L14" s="20"/>
      <c r="M14" s="20"/>
      <c r="N14" s="28"/>
      <c r="O14" s="11"/>
      <c r="P14" s="19" t="s">
        <v>26</v>
      </c>
      <c r="Q14" s="20"/>
      <c r="R14" s="20"/>
      <c r="S14" s="21"/>
    </row>
    <row r="15" spans="1:19" x14ac:dyDescent="0.2">
      <c r="A15" s="25" t="s">
        <v>27</v>
      </c>
      <c r="B15" s="26" t="s">
        <v>26</v>
      </c>
      <c r="C15" s="15"/>
      <c r="D15" s="10" t="s">
        <v>26</v>
      </c>
      <c r="F15" s="15" t="s">
        <v>26</v>
      </c>
      <c r="H15" s="7"/>
      <c r="J15" s="15"/>
      <c r="K15" s="10" t="s">
        <v>26</v>
      </c>
      <c r="N15" s="27"/>
      <c r="P15" s="15"/>
      <c r="R15" s="10" t="s">
        <v>26</v>
      </c>
      <c r="S15" s="7"/>
    </row>
    <row r="16" spans="1:19" x14ac:dyDescent="0.2">
      <c r="A16" s="25" t="s">
        <v>28</v>
      </c>
      <c r="B16" s="26" t="s">
        <v>26</v>
      </c>
      <c r="C16" s="15"/>
      <c r="D16" s="10" t="s">
        <v>26</v>
      </c>
      <c r="F16" s="15" t="s">
        <v>26</v>
      </c>
      <c r="H16" s="7"/>
      <c r="J16" s="15"/>
      <c r="L16" s="10" t="s">
        <v>26</v>
      </c>
      <c r="N16" s="27"/>
      <c r="P16" s="15"/>
      <c r="Q16" s="10" t="s">
        <v>26</v>
      </c>
      <c r="S16" s="7"/>
    </row>
    <row r="17" spans="1:19" x14ac:dyDescent="0.2">
      <c r="A17" s="11" t="s">
        <v>29</v>
      </c>
      <c r="B17" s="18" t="s">
        <v>26</v>
      </c>
      <c r="C17" s="19"/>
      <c r="D17" s="20" t="s">
        <v>26</v>
      </c>
      <c r="E17" s="20"/>
      <c r="F17" s="19"/>
      <c r="G17" s="20" t="s">
        <v>26</v>
      </c>
      <c r="H17" s="21"/>
      <c r="I17" s="20"/>
      <c r="J17" s="19" t="s">
        <v>26</v>
      </c>
      <c r="K17" s="20"/>
      <c r="L17" s="20"/>
      <c r="M17" s="20"/>
      <c r="N17" s="28"/>
      <c r="O17" s="11"/>
      <c r="P17" s="19" t="s">
        <v>26</v>
      </c>
      <c r="Q17" s="20"/>
      <c r="R17" s="20"/>
      <c r="S17" s="21"/>
    </row>
    <row r="18" spans="1:19" x14ac:dyDescent="0.2">
      <c r="A18" s="25" t="s">
        <v>27</v>
      </c>
      <c r="B18" s="26" t="s">
        <v>26</v>
      </c>
      <c r="C18" s="15"/>
      <c r="D18" s="10" t="s">
        <v>26</v>
      </c>
      <c r="F18" s="15"/>
      <c r="G18" s="10" t="s">
        <v>26</v>
      </c>
      <c r="H18" s="7"/>
      <c r="J18" s="15"/>
      <c r="K18" s="10" t="s">
        <v>26</v>
      </c>
      <c r="N18" s="27"/>
      <c r="P18" s="15"/>
      <c r="R18" s="10" t="s">
        <v>26</v>
      </c>
      <c r="S18" s="7"/>
    </row>
    <row r="19" spans="1:19" x14ac:dyDescent="0.2">
      <c r="A19" s="25" t="s">
        <v>28</v>
      </c>
      <c r="B19" s="26" t="s">
        <v>26</v>
      </c>
      <c r="C19" s="15"/>
      <c r="D19" s="10" t="s">
        <v>26</v>
      </c>
      <c r="F19" s="15"/>
      <c r="G19" s="10" t="s">
        <v>26</v>
      </c>
      <c r="H19" s="7"/>
      <c r="J19" s="15"/>
      <c r="L19" s="10" t="s">
        <v>26</v>
      </c>
      <c r="N19" s="27"/>
      <c r="P19" s="15"/>
      <c r="Q19" s="10" t="s">
        <v>26</v>
      </c>
      <c r="S19" s="7"/>
    </row>
    <row r="20" spans="1:19" x14ac:dyDescent="0.2">
      <c r="A20" s="20" t="s">
        <v>29</v>
      </c>
      <c r="B20" s="18" t="s">
        <v>26</v>
      </c>
      <c r="C20" s="20"/>
      <c r="D20" s="20" t="s">
        <v>26</v>
      </c>
      <c r="E20" s="20"/>
      <c r="F20" s="19"/>
      <c r="G20" s="20"/>
      <c r="H20" s="21" t="s">
        <v>26</v>
      </c>
      <c r="I20" s="20"/>
      <c r="J20" s="19" t="s">
        <v>26</v>
      </c>
      <c r="K20" s="20"/>
      <c r="L20" s="20"/>
      <c r="M20" s="20"/>
      <c r="N20" s="28"/>
      <c r="O20" s="11"/>
      <c r="P20" s="19" t="s">
        <v>26</v>
      </c>
      <c r="Q20" s="20"/>
      <c r="R20" s="20"/>
      <c r="S20" s="21"/>
    </row>
    <row r="21" spans="1:19" x14ac:dyDescent="0.2">
      <c r="A21" s="25" t="s">
        <v>27</v>
      </c>
      <c r="B21" s="26" t="s">
        <v>26</v>
      </c>
      <c r="C21" s="15"/>
      <c r="D21" s="10" t="s">
        <v>26</v>
      </c>
      <c r="F21" s="15"/>
      <c r="H21" s="7" t="s">
        <v>26</v>
      </c>
      <c r="J21" s="15"/>
      <c r="K21" s="10" t="s">
        <v>26</v>
      </c>
      <c r="N21" s="27"/>
      <c r="P21" s="15"/>
      <c r="R21" s="10" t="s">
        <v>26</v>
      </c>
      <c r="S21" s="7"/>
    </row>
    <row r="22" spans="1:19" x14ac:dyDescent="0.2">
      <c r="A22" s="25" t="s">
        <v>28</v>
      </c>
      <c r="B22" s="26" t="s">
        <v>26</v>
      </c>
      <c r="C22" s="15"/>
      <c r="D22" s="10" t="s">
        <v>26</v>
      </c>
      <c r="F22" s="15"/>
      <c r="H22" s="7" t="s">
        <v>26</v>
      </c>
      <c r="J22" s="15"/>
      <c r="L22" s="10" t="s">
        <v>26</v>
      </c>
      <c r="N22" s="27"/>
      <c r="P22" s="15"/>
      <c r="Q22" s="10" t="s">
        <v>26</v>
      </c>
      <c r="S22" s="7"/>
    </row>
    <row r="23" spans="1:19" x14ac:dyDescent="0.2">
      <c r="A23" s="11" t="s">
        <v>29</v>
      </c>
      <c r="B23" s="18" t="s">
        <v>26</v>
      </c>
      <c r="C23" s="19"/>
      <c r="D23" s="20"/>
      <c r="E23" s="20" t="s">
        <v>26</v>
      </c>
      <c r="F23" s="19" t="s">
        <v>26</v>
      </c>
      <c r="G23" s="20"/>
      <c r="H23" s="21"/>
      <c r="I23" s="20"/>
      <c r="J23" s="19" t="s">
        <v>26</v>
      </c>
      <c r="K23" s="20"/>
      <c r="L23" s="20"/>
      <c r="M23" s="20"/>
      <c r="N23" s="28"/>
      <c r="O23" s="11"/>
      <c r="P23" s="19" t="s">
        <v>26</v>
      </c>
      <c r="Q23" s="20"/>
      <c r="R23" s="20"/>
      <c r="S23" s="21"/>
    </row>
    <row r="24" spans="1:19" x14ac:dyDescent="0.2">
      <c r="A24" s="25" t="s">
        <v>27</v>
      </c>
      <c r="B24" s="29" t="s">
        <v>26</v>
      </c>
      <c r="C24" s="15"/>
      <c r="E24" s="10" t="s">
        <v>26</v>
      </c>
      <c r="F24" s="15" t="s">
        <v>26</v>
      </c>
      <c r="H24" s="7"/>
      <c r="J24" s="15"/>
      <c r="K24" s="10" t="s">
        <v>26</v>
      </c>
      <c r="N24" s="27"/>
      <c r="P24" s="15"/>
      <c r="R24" s="10" t="s">
        <v>26</v>
      </c>
      <c r="S24" s="7"/>
    </row>
    <row r="25" spans="1:19" x14ac:dyDescent="0.2">
      <c r="A25" s="25" t="s">
        <v>28</v>
      </c>
      <c r="B25" s="29" t="s">
        <v>26</v>
      </c>
      <c r="C25" s="15"/>
      <c r="E25" s="10" t="s">
        <v>26</v>
      </c>
      <c r="F25" s="15" t="s">
        <v>26</v>
      </c>
      <c r="H25" s="7"/>
      <c r="J25" s="15"/>
      <c r="L25" s="10" t="s">
        <v>26</v>
      </c>
      <c r="N25" s="27"/>
      <c r="P25" s="15"/>
      <c r="R25" s="10" t="s">
        <v>26</v>
      </c>
      <c r="S25" s="7"/>
    </row>
    <row r="26" spans="1:19" x14ac:dyDescent="0.2">
      <c r="A26" s="25" t="s">
        <v>30</v>
      </c>
      <c r="B26" s="29" t="s">
        <v>26</v>
      </c>
      <c r="C26" s="15"/>
      <c r="E26" s="10" t="s">
        <v>26</v>
      </c>
      <c r="F26" s="15" t="s">
        <v>26</v>
      </c>
      <c r="H26" s="7"/>
      <c r="J26" s="15"/>
      <c r="N26" s="27" t="s">
        <v>26</v>
      </c>
      <c r="P26" s="15"/>
      <c r="Q26" s="10" t="s">
        <v>26</v>
      </c>
      <c r="S26" s="7"/>
    </row>
    <row r="27" spans="1:19" x14ac:dyDescent="0.2">
      <c r="A27" s="11" t="s">
        <v>29</v>
      </c>
      <c r="B27" s="18" t="s">
        <v>26</v>
      </c>
      <c r="C27" s="19"/>
      <c r="D27" s="20"/>
      <c r="E27" s="20" t="s">
        <v>26</v>
      </c>
      <c r="F27" s="19"/>
      <c r="G27" s="20" t="s">
        <v>26</v>
      </c>
      <c r="H27" s="21"/>
      <c r="I27" s="20"/>
      <c r="J27" s="19" t="s">
        <v>26</v>
      </c>
      <c r="K27" s="20"/>
      <c r="L27" s="20"/>
      <c r="M27" s="20"/>
      <c r="N27" s="28"/>
      <c r="O27" s="11"/>
      <c r="P27" s="19" t="s">
        <v>26</v>
      </c>
      <c r="Q27" s="20"/>
      <c r="R27" s="20"/>
      <c r="S27" s="21"/>
    </row>
    <row r="28" spans="1:19" x14ac:dyDescent="0.2">
      <c r="A28" s="25" t="s">
        <v>27</v>
      </c>
      <c r="B28" s="26" t="s">
        <v>26</v>
      </c>
      <c r="C28" s="15"/>
      <c r="E28" s="10" t="s">
        <v>26</v>
      </c>
      <c r="F28" s="15"/>
      <c r="G28" s="10" t="s">
        <v>26</v>
      </c>
      <c r="H28" s="7"/>
      <c r="J28" s="15"/>
      <c r="K28" s="10" t="s">
        <v>26</v>
      </c>
      <c r="N28" s="27"/>
      <c r="P28" s="15"/>
      <c r="R28" s="10" t="s">
        <v>26</v>
      </c>
      <c r="S28" s="7"/>
    </row>
    <row r="29" spans="1:19" x14ac:dyDescent="0.2">
      <c r="A29" s="25" t="s">
        <v>31</v>
      </c>
      <c r="B29" s="29" t="s">
        <v>26</v>
      </c>
      <c r="C29" s="15"/>
      <c r="E29" s="10" t="s">
        <v>26</v>
      </c>
      <c r="F29" s="15"/>
      <c r="G29" s="10" t="s">
        <v>26</v>
      </c>
      <c r="H29" s="7"/>
      <c r="J29" s="15"/>
      <c r="N29" s="27" t="s">
        <v>26</v>
      </c>
      <c r="P29" s="15"/>
      <c r="R29" s="10" t="s">
        <v>26</v>
      </c>
      <c r="S29" s="7"/>
    </row>
    <row r="30" spans="1:19" x14ac:dyDescent="0.2">
      <c r="A30" s="25" t="s">
        <v>28</v>
      </c>
      <c r="B30" s="29" t="s">
        <v>26</v>
      </c>
      <c r="C30" s="15"/>
      <c r="E30" s="10" t="s">
        <v>26</v>
      </c>
      <c r="F30" s="15"/>
      <c r="G30" s="10" t="s">
        <v>26</v>
      </c>
      <c r="H30" s="7"/>
      <c r="J30" s="15"/>
      <c r="L30" s="10" t="s">
        <v>26</v>
      </c>
      <c r="N30" s="27"/>
      <c r="P30" s="15"/>
      <c r="Q30" s="10" t="s">
        <v>26</v>
      </c>
      <c r="S30" s="7"/>
    </row>
    <row r="31" spans="1:19" x14ac:dyDescent="0.2">
      <c r="A31" s="11" t="s">
        <v>29</v>
      </c>
      <c r="B31" s="18" t="s">
        <v>26</v>
      </c>
      <c r="C31" s="19"/>
      <c r="D31" s="20"/>
      <c r="E31" s="20" t="s">
        <v>26</v>
      </c>
      <c r="F31" s="19"/>
      <c r="G31" s="20"/>
      <c r="H31" s="21" t="s">
        <v>26</v>
      </c>
      <c r="I31" s="20"/>
      <c r="J31" s="19" t="s">
        <v>26</v>
      </c>
      <c r="K31" s="20"/>
      <c r="L31" s="20"/>
      <c r="M31" s="20"/>
      <c r="N31" s="28"/>
      <c r="O31" s="11"/>
      <c r="P31" s="19" t="s">
        <v>26</v>
      </c>
      <c r="Q31" s="20"/>
      <c r="R31" s="20"/>
      <c r="S31" s="21"/>
    </row>
    <row r="32" spans="1:19" x14ac:dyDescent="0.2">
      <c r="A32" s="25" t="s">
        <v>27</v>
      </c>
      <c r="B32" s="26" t="s">
        <v>26</v>
      </c>
      <c r="C32" s="15"/>
      <c r="E32" s="10" t="s">
        <v>26</v>
      </c>
      <c r="F32" s="15"/>
      <c r="H32" s="7" t="s">
        <v>26</v>
      </c>
      <c r="J32" s="15"/>
      <c r="K32" s="10" t="s">
        <v>26</v>
      </c>
      <c r="N32" s="27"/>
      <c r="P32" s="15"/>
      <c r="R32" s="10" t="s">
        <v>26</v>
      </c>
      <c r="S32" s="7"/>
    </row>
    <row r="33" spans="1:19" x14ac:dyDescent="0.2">
      <c r="A33" s="25" t="s">
        <v>32</v>
      </c>
      <c r="B33" s="29" t="s">
        <v>26</v>
      </c>
      <c r="C33" s="15"/>
      <c r="E33" s="10" t="s">
        <v>26</v>
      </c>
      <c r="F33" s="15"/>
      <c r="H33" s="7" t="s">
        <v>26</v>
      </c>
      <c r="J33" s="15"/>
      <c r="N33" s="27" t="s">
        <v>26</v>
      </c>
      <c r="P33" s="15"/>
      <c r="R33" s="10" t="s">
        <v>26</v>
      </c>
      <c r="S33" s="7"/>
    </row>
    <row r="34" spans="1:19" x14ac:dyDescent="0.2">
      <c r="A34" s="25" t="s">
        <v>28</v>
      </c>
      <c r="B34" s="29" t="s">
        <v>26</v>
      </c>
      <c r="C34" s="15"/>
      <c r="E34" s="10" t="s">
        <v>26</v>
      </c>
      <c r="F34" s="15"/>
      <c r="H34" s="7" t="s">
        <v>26</v>
      </c>
      <c r="J34" s="15"/>
      <c r="L34" s="10" t="s">
        <v>26</v>
      </c>
      <c r="N34" s="27"/>
      <c r="P34" s="15"/>
      <c r="Q34" s="10" t="s">
        <v>26</v>
      </c>
      <c r="S34" s="7"/>
    </row>
    <row r="35" spans="1:19" x14ac:dyDescent="0.2">
      <c r="B35" s="26" t="s">
        <v>26</v>
      </c>
      <c r="C35" s="30"/>
      <c r="D35" s="31"/>
      <c r="E35" s="31"/>
      <c r="F35" s="30"/>
      <c r="G35" s="31"/>
      <c r="H35" s="9"/>
      <c r="J35" s="30"/>
      <c r="K35" s="31"/>
      <c r="L35" s="31"/>
      <c r="M35" s="31"/>
      <c r="N35" s="32"/>
      <c r="P35" s="30"/>
      <c r="Q35" s="31"/>
      <c r="R35" s="31"/>
      <c r="S35" s="9"/>
    </row>
  </sheetData>
  <mergeCells count="4">
    <mergeCell ref="C3:E3"/>
    <mergeCell ref="F3:H3"/>
    <mergeCell ref="J3:N3"/>
    <mergeCell ref="P3:S3"/>
  </mergeCells>
  <pageMargins left="0.7" right="0.7" top="0.75" bottom="0.75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18"/>
  <sheetViews>
    <sheetView zoomScale="121" zoomScaleNormal="121" workbookViewId="0">
      <selection activeCell="A15" sqref="A15"/>
    </sheetView>
  </sheetViews>
  <sheetFormatPr baseColWidth="10" defaultColWidth="8.6640625" defaultRowHeight="15" x14ac:dyDescent="0.2"/>
  <cols>
    <col min="1" max="1" width="12.83203125" customWidth="1"/>
    <col min="2" max="2" width="3.5" customWidth="1"/>
    <col min="3" max="3" width="10.5" style="10" customWidth="1"/>
    <col min="4" max="5" width="9.1640625" style="10" customWidth="1"/>
    <col min="6" max="6" width="11.1640625" style="10" customWidth="1"/>
    <col min="7" max="8" width="10.1640625" style="10" customWidth="1"/>
    <col min="9" max="9" width="17.5" style="10" customWidth="1"/>
    <col min="10" max="10" width="36.5" style="10" customWidth="1"/>
    <col min="13" max="13" width="10.6640625" customWidth="1"/>
    <col min="14" max="14" width="12.83203125" customWidth="1"/>
    <col min="15" max="15" width="10.5" customWidth="1"/>
    <col min="16" max="16" width="11.6640625" customWidth="1"/>
  </cols>
  <sheetData>
    <row r="1" spans="1:16" x14ac:dyDescent="0.2">
      <c r="C1"/>
      <c r="D1"/>
      <c r="E1"/>
      <c r="F1"/>
      <c r="G1"/>
      <c r="H1"/>
      <c r="I1"/>
      <c r="J1"/>
    </row>
    <row r="3" spans="1:16" x14ac:dyDescent="0.2">
      <c r="C3" s="165" t="s">
        <v>33</v>
      </c>
      <c r="D3" s="165"/>
      <c r="E3" s="165"/>
      <c r="F3" s="166" t="s">
        <v>34</v>
      </c>
      <c r="G3" s="166"/>
      <c r="H3" s="166"/>
      <c r="I3" s="166"/>
      <c r="J3" s="166"/>
      <c r="L3" s="167" t="s">
        <v>8</v>
      </c>
      <c r="M3" s="167"/>
      <c r="N3" s="167"/>
      <c r="O3" s="167"/>
      <c r="P3" s="167"/>
    </row>
    <row r="4" spans="1:16" ht="16" x14ac:dyDescent="0.2">
      <c r="A4" t="s">
        <v>9</v>
      </c>
      <c r="B4">
        <f>COUNTA(B5:B21)</f>
        <v>12</v>
      </c>
      <c r="C4" s="3" t="s">
        <v>13</v>
      </c>
      <c r="D4" s="2" t="s">
        <v>14</v>
      </c>
      <c r="E4" s="33" t="s">
        <v>15</v>
      </c>
      <c r="F4" s="12" t="s">
        <v>35</v>
      </c>
      <c r="G4" s="12" t="s">
        <v>36</v>
      </c>
      <c r="H4" s="12" t="s">
        <v>37</v>
      </c>
      <c r="I4" s="1" t="s">
        <v>38</v>
      </c>
      <c r="J4" s="34" t="s">
        <v>39</v>
      </c>
      <c r="L4" s="15" t="s">
        <v>21</v>
      </c>
      <c r="M4" s="15" t="s">
        <v>22</v>
      </c>
      <c r="N4" s="15" t="s">
        <v>23</v>
      </c>
      <c r="O4" s="15" t="s">
        <v>24</v>
      </c>
      <c r="P4" s="16" t="s">
        <v>40</v>
      </c>
    </row>
    <row r="5" spans="1:16" x14ac:dyDescent="0.2">
      <c r="C5" s="3"/>
      <c r="D5" s="33"/>
      <c r="E5" s="5"/>
      <c r="J5" s="7"/>
      <c r="L5" s="3"/>
      <c r="M5" s="33"/>
      <c r="N5" s="33"/>
      <c r="O5" s="33"/>
      <c r="P5" s="17"/>
    </row>
    <row r="6" spans="1:16" x14ac:dyDescent="0.2">
      <c r="A6" s="11" t="s">
        <v>41</v>
      </c>
      <c r="B6" s="11" t="s">
        <v>26</v>
      </c>
      <c r="C6" s="19" t="s">
        <v>26</v>
      </c>
      <c r="D6" s="20"/>
      <c r="E6" s="21"/>
      <c r="F6" s="20" t="s">
        <v>26</v>
      </c>
      <c r="G6" s="20"/>
      <c r="H6" s="20"/>
      <c r="I6" s="20"/>
      <c r="J6" s="21"/>
      <c r="K6" s="11"/>
      <c r="L6" s="19" t="s">
        <v>26</v>
      </c>
      <c r="M6" s="20"/>
      <c r="N6" s="20"/>
      <c r="O6" s="20"/>
      <c r="P6" s="28"/>
    </row>
    <row r="7" spans="1:16" x14ac:dyDescent="0.2">
      <c r="A7" s="25" t="s">
        <v>41</v>
      </c>
      <c r="B7" t="s">
        <v>26</v>
      </c>
      <c r="C7" s="15" t="s">
        <v>26</v>
      </c>
      <c r="E7" s="7"/>
      <c r="G7" s="10" t="s">
        <v>26</v>
      </c>
      <c r="J7" s="7"/>
      <c r="L7" s="15"/>
      <c r="M7" s="10" t="s">
        <v>26</v>
      </c>
      <c r="N7" s="10"/>
      <c r="O7" s="10"/>
      <c r="P7" s="27"/>
    </row>
    <row r="8" spans="1:16" x14ac:dyDescent="0.2">
      <c r="A8" s="11" t="s">
        <v>41</v>
      </c>
      <c r="B8" s="11" t="s">
        <v>26</v>
      </c>
      <c r="C8" s="19" t="s">
        <v>26</v>
      </c>
      <c r="D8" s="20"/>
      <c r="E8" s="21"/>
      <c r="F8" s="20"/>
      <c r="G8" s="20"/>
      <c r="H8" s="20"/>
      <c r="I8" s="20" t="s">
        <v>26</v>
      </c>
      <c r="J8" s="21"/>
      <c r="K8" s="11"/>
      <c r="L8" s="19" t="s">
        <v>26</v>
      </c>
      <c r="M8" s="20"/>
      <c r="N8" s="20"/>
      <c r="O8" s="20"/>
      <c r="P8" s="28"/>
    </row>
    <row r="9" spans="1:16" x14ac:dyDescent="0.2">
      <c r="A9" s="35" t="s">
        <v>40</v>
      </c>
      <c r="B9" s="35" t="s">
        <v>26</v>
      </c>
      <c r="C9" s="36" t="s">
        <v>26</v>
      </c>
      <c r="D9" s="37"/>
      <c r="E9" s="38"/>
      <c r="F9" s="37"/>
      <c r="G9" s="37"/>
      <c r="H9" s="37"/>
      <c r="I9" s="37"/>
      <c r="J9" s="38" t="s">
        <v>26</v>
      </c>
      <c r="K9" s="35"/>
      <c r="L9" s="36"/>
      <c r="M9" s="37"/>
      <c r="N9" s="37"/>
      <c r="O9" s="37"/>
      <c r="P9" s="39" t="s">
        <v>26</v>
      </c>
    </row>
    <row r="10" spans="1:16" x14ac:dyDescent="0.2">
      <c r="A10" s="25" t="s">
        <v>41</v>
      </c>
      <c r="B10" t="s">
        <v>26</v>
      </c>
      <c r="C10" s="15"/>
      <c r="D10" s="10" t="s">
        <v>26</v>
      </c>
      <c r="E10" s="7"/>
      <c r="F10" s="10" t="s">
        <v>26</v>
      </c>
      <c r="J10" s="7"/>
      <c r="L10" s="15"/>
      <c r="M10" s="10" t="s">
        <v>26</v>
      </c>
      <c r="N10" s="10"/>
      <c r="O10" s="10"/>
      <c r="P10" s="27"/>
    </row>
    <row r="11" spans="1:16" x14ac:dyDescent="0.2">
      <c r="B11" t="s">
        <v>26</v>
      </c>
      <c r="C11" s="15"/>
      <c r="D11" s="10" t="s">
        <v>26</v>
      </c>
      <c r="E11" s="7"/>
      <c r="G11" s="10" t="s">
        <v>26</v>
      </c>
      <c r="J11" s="7"/>
      <c r="L11" s="15"/>
      <c r="M11" s="10" t="s">
        <v>26</v>
      </c>
      <c r="N11" s="10"/>
      <c r="O11" s="10"/>
      <c r="P11" s="27"/>
    </row>
    <row r="12" spans="1:16" x14ac:dyDescent="0.2">
      <c r="A12" s="25" t="s">
        <v>41</v>
      </c>
      <c r="B12" t="s">
        <v>26</v>
      </c>
      <c r="C12" s="15"/>
      <c r="D12" s="10" t="s">
        <v>26</v>
      </c>
      <c r="E12" s="7"/>
      <c r="I12" s="10" t="s">
        <v>26</v>
      </c>
      <c r="J12" s="7"/>
      <c r="L12" s="15"/>
      <c r="M12" s="10" t="s">
        <v>26</v>
      </c>
      <c r="N12" s="10"/>
      <c r="O12" s="10"/>
      <c r="P12" s="27"/>
    </row>
    <row r="13" spans="1:16" x14ac:dyDescent="0.2">
      <c r="A13" s="35" t="s">
        <v>40</v>
      </c>
      <c r="B13" s="35" t="s">
        <v>26</v>
      </c>
      <c r="C13" s="36"/>
      <c r="D13" s="37" t="s">
        <v>26</v>
      </c>
      <c r="E13" s="38"/>
      <c r="F13" s="37"/>
      <c r="G13" s="37"/>
      <c r="H13" s="37"/>
      <c r="I13" s="37"/>
      <c r="J13" s="38" t="s">
        <v>26</v>
      </c>
      <c r="K13" s="35"/>
      <c r="L13" s="36"/>
      <c r="M13" s="37"/>
      <c r="N13" s="37"/>
      <c r="O13" s="37"/>
      <c r="P13" s="39" t="s">
        <v>26</v>
      </c>
    </row>
    <row r="14" spans="1:16" x14ac:dyDescent="0.2">
      <c r="A14" s="25" t="s">
        <v>41</v>
      </c>
      <c r="B14" t="s">
        <v>26</v>
      </c>
      <c r="C14" s="15"/>
      <c r="E14" s="7" t="s">
        <v>26</v>
      </c>
      <c r="F14" s="10" t="s">
        <v>26</v>
      </c>
      <c r="J14" s="7"/>
      <c r="L14" s="15"/>
      <c r="M14" s="10" t="s">
        <v>26</v>
      </c>
      <c r="N14" s="10"/>
      <c r="O14" s="10"/>
      <c r="P14" s="27"/>
    </row>
    <row r="15" spans="1:16" x14ac:dyDescent="0.2">
      <c r="B15" t="s">
        <v>26</v>
      </c>
      <c r="C15" s="15"/>
      <c r="E15" s="7" t="s">
        <v>26</v>
      </c>
      <c r="G15" s="10" t="s">
        <v>26</v>
      </c>
      <c r="J15" s="7"/>
      <c r="L15" s="15"/>
      <c r="M15" s="10" t="s">
        <v>26</v>
      </c>
      <c r="N15" s="10"/>
      <c r="O15" s="10"/>
      <c r="P15" s="27"/>
    </row>
    <row r="16" spans="1:16" x14ac:dyDescent="0.2">
      <c r="A16" s="25" t="s">
        <v>41</v>
      </c>
      <c r="B16" t="s">
        <v>26</v>
      </c>
      <c r="C16" s="15"/>
      <c r="E16" s="7" t="s">
        <v>26</v>
      </c>
      <c r="I16" s="10" t="s">
        <v>26</v>
      </c>
      <c r="J16" s="7"/>
      <c r="L16" s="15"/>
      <c r="M16" s="10" t="s">
        <v>26</v>
      </c>
      <c r="N16" s="10"/>
      <c r="O16" s="10"/>
      <c r="P16" s="27"/>
    </row>
    <row r="17" spans="1:16" x14ac:dyDescent="0.2">
      <c r="A17" s="35" t="s">
        <v>40</v>
      </c>
      <c r="B17" s="35" t="s">
        <v>26</v>
      </c>
      <c r="C17" s="36"/>
      <c r="D17" s="37"/>
      <c r="E17" s="38" t="s">
        <v>26</v>
      </c>
      <c r="F17" s="37"/>
      <c r="G17" s="37"/>
      <c r="H17" s="37"/>
      <c r="I17" s="37"/>
      <c r="J17" s="38" t="s">
        <v>26</v>
      </c>
      <c r="K17" s="35"/>
      <c r="L17" s="36"/>
      <c r="M17" s="37"/>
      <c r="N17" s="37"/>
      <c r="O17" s="37"/>
      <c r="P17" s="39" t="s">
        <v>26</v>
      </c>
    </row>
    <row r="18" spans="1:16" x14ac:dyDescent="0.2">
      <c r="C18" s="30"/>
      <c r="D18" s="31"/>
      <c r="E18" s="9"/>
      <c r="F18" s="31"/>
      <c r="G18" s="31"/>
      <c r="H18" s="31"/>
      <c r="I18" s="31"/>
      <c r="J18" s="9"/>
      <c r="L18" s="30"/>
      <c r="M18" s="31"/>
      <c r="N18" s="31"/>
      <c r="O18" s="31"/>
      <c r="P18" s="32"/>
    </row>
  </sheetData>
  <mergeCells count="3">
    <mergeCell ref="C3:E3"/>
    <mergeCell ref="F3:J3"/>
    <mergeCell ref="L3:P3"/>
  </mergeCells>
  <pageMargins left="0.7" right="0.7" top="0.75" bottom="0.75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J21"/>
  <sheetViews>
    <sheetView zoomScale="121" zoomScaleNormal="121" workbookViewId="0">
      <selection activeCell="A12" sqref="A12"/>
    </sheetView>
  </sheetViews>
  <sheetFormatPr baseColWidth="10" defaultColWidth="8.6640625" defaultRowHeight="15" x14ac:dyDescent="0.2"/>
  <cols>
    <col min="1" max="1" width="21.5" customWidth="1"/>
    <col min="2" max="2" width="36.5" customWidth="1"/>
    <col min="3" max="3" width="10.1640625" customWidth="1"/>
    <col min="4" max="4" width="9" customWidth="1"/>
    <col min="5" max="5" width="10.6640625" customWidth="1"/>
    <col min="6" max="6" width="12.83203125" customWidth="1"/>
    <col min="7" max="7" width="10.5" customWidth="1"/>
    <col min="8" max="8" width="11.6640625" customWidth="1"/>
    <col min="10" max="10" width="23.5" customWidth="1"/>
  </cols>
  <sheetData>
    <row r="2" spans="1:10" ht="16" x14ac:dyDescent="0.2">
      <c r="B2" s="40" t="s">
        <v>42</v>
      </c>
      <c r="D2" s="167" t="s">
        <v>8</v>
      </c>
      <c r="E2" s="167"/>
      <c r="F2" s="167"/>
      <c r="G2" s="167"/>
      <c r="H2" s="167"/>
    </row>
    <row r="3" spans="1:10" x14ac:dyDescent="0.2">
      <c r="A3" t="s">
        <v>9</v>
      </c>
      <c r="B3" t="s">
        <v>43</v>
      </c>
      <c r="C3">
        <f>COUNTA(C5:C17)</f>
        <v>12</v>
      </c>
      <c r="D3" s="15" t="s">
        <v>21</v>
      </c>
      <c r="E3" s="15" t="s">
        <v>22</v>
      </c>
      <c r="F3" s="15" t="s">
        <v>23</v>
      </c>
      <c r="G3" s="3" t="s">
        <v>24</v>
      </c>
      <c r="H3" s="2" t="s">
        <v>40</v>
      </c>
    </row>
    <row r="4" spans="1:10" x14ac:dyDescent="0.2">
      <c r="D4" s="3"/>
      <c r="E4" s="33"/>
      <c r="F4" s="33"/>
      <c r="G4" s="33"/>
      <c r="H4" s="5"/>
      <c r="J4" s="41" t="s">
        <v>44</v>
      </c>
    </row>
    <row r="5" spans="1:10" x14ac:dyDescent="0.2">
      <c r="A5" s="42" t="s">
        <v>45</v>
      </c>
      <c r="B5" s="41" t="s">
        <v>46</v>
      </c>
      <c r="C5" t="s">
        <v>26</v>
      </c>
      <c r="D5" s="15" t="s">
        <v>26</v>
      </c>
      <c r="E5" s="10"/>
      <c r="F5" s="10"/>
      <c r="G5" s="10"/>
      <c r="H5" s="7"/>
      <c r="J5" s="43" t="s">
        <v>47</v>
      </c>
    </row>
    <row r="6" spans="1:10" x14ac:dyDescent="0.2">
      <c r="A6" s="25" t="s">
        <v>48</v>
      </c>
      <c r="B6" s="41" t="s">
        <v>49</v>
      </c>
      <c r="C6" t="s">
        <v>26</v>
      </c>
      <c r="D6" s="15"/>
      <c r="E6" s="10"/>
      <c r="F6" s="10" t="s">
        <v>26</v>
      </c>
      <c r="G6" s="10"/>
      <c r="H6" s="7"/>
      <c r="J6" s="44" t="s">
        <v>50</v>
      </c>
    </row>
    <row r="7" spans="1:10" x14ac:dyDescent="0.2">
      <c r="A7" s="42" t="s">
        <v>45</v>
      </c>
      <c r="B7" s="41" t="s">
        <v>51</v>
      </c>
      <c r="C7" t="s">
        <v>26</v>
      </c>
      <c r="D7" s="15" t="s">
        <v>26</v>
      </c>
      <c r="E7" s="10"/>
      <c r="F7" s="10"/>
      <c r="G7" s="10"/>
      <c r="H7" s="7"/>
      <c r="J7" s="45" t="s">
        <v>52</v>
      </c>
    </row>
    <row r="8" spans="1:10" x14ac:dyDescent="0.2">
      <c r="A8" s="25" t="s">
        <v>53</v>
      </c>
      <c r="B8" s="41" t="s">
        <v>54</v>
      </c>
      <c r="C8" t="s">
        <v>26</v>
      </c>
      <c r="D8" s="15"/>
      <c r="E8" s="10"/>
      <c r="F8" s="10"/>
      <c r="G8" s="10" t="s">
        <v>26</v>
      </c>
      <c r="H8" s="7"/>
    </row>
    <row r="9" spans="1:10" x14ac:dyDescent="0.2">
      <c r="A9" t="s">
        <v>55</v>
      </c>
      <c r="B9" s="43" t="s">
        <v>56</v>
      </c>
      <c r="C9" t="s">
        <v>26</v>
      </c>
      <c r="D9" s="15"/>
      <c r="E9" s="10" t="s">
        <v>26</v>
      </c>
      <c r="F9" s="10"/>
      <c r="G9" s="10"/>
      <c r="H9" s="7"/>
    </row>
    <row r="10" spans="1:10" x14ac:dyDescent="0.2">
      <c r="B10" s="43" t="s">
        <v>57</v>
      </c>
      <c r="C10" t="s">
        <v>26</v>
      </c>
      <c r="D10" s="15"/>
      <c r="E10" s="10"/>
      <c r="F10" s="10" t="s">
        <v>26</v>
      </c>
      <c r="G10" s="10"/>
      <c r="H10" s="7"/>
    </row>
    <row r="11" spans="1:10" ht="32" x14ac:dyDescent="0.2">
      <c r="A11" s="46" t="s">
        <v>58</v>
      </c>
      <c r="B11" s="43" t="s">
        <v>59</v>
      </c>
      <c r="C11" t="s">
        <v>26</v>
      </c>
      <c r="D11" s="15"/>
      <c r="E11" s="10"/>
      <c r="F11" s="10"/>
      <c r="G11" s="10" t="s">
        <v>26</v>
      </c>
      <c r="H11" s="7"/>
    </row>
    <row r="12" spans="1:10" ht="32" x14ac:dyDescent="0.2">
      <c r="A12" s="46" t="s">
        <v>58</v>
      </c>
      <c r="B12" s="43" t="s">
        <v>60</v>
      </c>
      <c r="C12" t="s">
        <v>26</v>
      </c>
      <c r="D12" s="15"/>
      <c r="E12" s="10"/>
      <c r="F12" s="10" t="s">
        <v>26</v>
      </c>
      <c r="G12" s="10"/>
      <c r="H12" s="7"/>
    </row>
    <row r="13" spans="1:10" ht="16" x14ac:dyDescent="0.2">
      <c r="A13" s="46" t="s">
        <v>61</v>
      </c>
      <c r="B13" s="43" t="s">
        <v>62</v>
      </c>
      <c r="C13" t="s">
        <v>26</v>
      </c>
      <c r="D13" s="15"/>
      <c r="E13" s="10"/>
      <c r="F13" s="10" t="s">
        <v>26</v>
      </c>
      <c r="G13" s="10"/>
      <c r="H13" s="7"/>
    </row>
    <row r="14" spans="1:10" ht="32" x14ac:dyDescent="0.2">
      <c r="A14" s="47" t="s">
        <v>63</v>
      </c>
      <c r="B14" s="43" t="s">
        <v>64</v>
      </c>
      <c r="C14" t="s">
        <v>26</v>
      </c>
      <c r="D14" s="15" t="s">
        <v>26</v>
      </c>
      <c r="E14" s="10"/>
      <c r="F14" s="10"/>
      <c r="G14" s="10"/>
      <c r="H14" s="7"/>
    </row>
    <row r="15" spans="1:10" ht="48" x14ac:dyDescent="0.2">
      <c r="A15" s="46" t="s">
        <v>65</v>
      </c>
      <c r="B15" s="48" t="s">
        <v>66</v>
      </c>
      <c r="C15" t="s">
        <v>26</v>
      </c>
      <c r="D15" s="15"/>
      <c r="E15" s="10"/>
      <c r="F15" s="49" t="s">
        <v>26</v>
      </c>
      <c r="G15" s="10"/>
      <c r="H15" s="7"/>
    </row>
    <row r="16" spans="1:10" x14ac:dyDescent="0.2">
      <c r="A16" s="50" t="s">
        <v>40</v>
      </c>
      <c r="B16" s="45" t="s">
        <v>67</v>
      </c>
      <c r="C16" t="s">
        <v>26</v>
      </c>
      <c r="D16" s="15"/>
      <c r="E16" s="10"/>
      <c r="F16" s="10"/>
      <c r="G16" s="10"/>
      <c r="H16" s="51" t="s">
        <v>26</v>
      </c>
    </row>
    <row r="17" spans="4:8" x14ac:dyDescent="0.2">
      <c r="D17" s="30"/>
      <c r="E17" s="31"/>
      <c r="F17" s="31"/>
      <c r="G17" s="31"/>
      <c r="H17" s="9"/>
    </row>
    <row r="21" spans="4:8" x14ac:dyDescent="0.2">
      <c r="D21" t="s">
        <v>68</v>
      </c>
    </row>
  </sheetData>
  <mergeCells count="1">
    <mergeCell ref="D2:H2"/>
  </mergeCells>
  <pageMargins left="0.7" right="0.7" top="0.75" bottom="0.75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3:T23"/>
  <sheetViews>
    <sheetView zoomScale="121" zoomScaleNormal="121" workbookViewId="0">
      <selection activeCell="D34" sqref="D34"/>
    </sheetView>
  </sheetViews>
  <sheetFormatPr baseColWidth="10" defaultColWidth="8.6640625" defaultRowHeight="15" x14ac:dyDescent="0.2"/>
  <cols>
    <col min="1" max="1" width="40.1640625" customWidth="1"/>
    <col min="2" max="2" width="3.5" customWidth="1"/>
    <col min="3" max="3" width="18.33203125" customWidth="1"/>
    <col min="4" max="4" width="11.1640625" customWidth="1"/>
    <col min="7" max="7" width="35" customWidth="1"/>
    <col min="8" max="8" width="4.1640625" customWidth="1"/>
    <col min="10" max="10" width="10" customWidth="1"/>
    <col min="11" max="12" width="11" customWidth="1"/>
    <col min="14" max="14" width="9" customWidth="1"/>
    <col min="15" max="15" width="10.6640625" customWidth="1"/>
    <col min="16" max="16" width="12.83203125" customWidth="1"/>
    <col min="17" max="17" width="10.5" customWidth="1"/>
    <col min="18" max="18" width="11.6640625" customWidth="1"/>
    <col min="20" max="20" width="22.1640625" customWidth="1"/>
  </cols>
  <sheetData>
    <row r="3" spans="1:20" x14ac:dyDescent="0.2">
      <c r="A3" t="s">
        <v>69</v>
      </c>
      <c r="C3" s="166" t="s">
        <v>70</v>
      </c>
      <c r="D3" s="166"/>
      <c r="E3" s="166"/>
      <c r="F3" s="166"/>
      <c r="G3" s="166"/>
      <c r="I3" s="168" t="s">
        <v>71</v>
      </c>
      <c r="J3" s="168"/>
      <c r="K3" s="168"/>
      <c r="L3" s="168"/>
      <c r="N3" s="167" t="s">
        <v>8</v>
      </c>
      <c r="O3" s="167"/>
      <c r="P3" s="167"/>
      <c r="Q3" s="167"/>
      <c r="R3" s="167"/>
    </row>
    <row r="4" spans="1:20" x14ac:dyDescent="0.2">
      <c r="B4">
        <f>COUNTA(B6:B23)</f>
        <v>17</v>
      </c>
      <c r="C4" s="12" t="s">
        <v>72</v>
      </c>
      <c r="D4" s="12" t="s">
        <v>73</v>
      </c>
      <c r="E4" s="12" t="s">
        <v>74</v>
      </c>
      <c r="F4" s="12" t="s">
        <v>75</v>
      </c>
      <c r="G4" s="1" t="s">
        <v>76</v>
      </c>
      <c r="I4" s="12" t="s">
        <v>77</v>
      </c>
      <c r="J4" s="12" t="s">
        <v>16</v>
      </c>
      <c r="K4" s="12" t="s">
        <v>17</v>
      </c>
      <c r="L4" s="1" t="s">
        <v>78</v>
      </c>
      <c r="N4" s="15" t="s">
        <v>21</v>
      </c>
      <c r="O4" s="15" t="s">
        <v>22</v>
      </c>
      <c r="P4" s="15" t="s">
        <v>23</v>
      </c>
      <c r="Q4" s="3" t="s">
        <v>24</v>
      </c>
      <c r="R4" s="2" t="s">
        <v>40</v>
      </c>
      <c r="T4" s="41" t="s">
        <v>44</v>
      </c>
    </row>
    <row r="5" spans="1:20" x14ac:dyDescent="0.2">
      <c r="C5" s="6"/>
      <c r="G5" s="27"/>
      <c r="I5" s="6"/>
      <c r="L5" s="27"/>
      <c r="N5" s="3"/>
      <c r="O5" s="33"/>
      <c r="P5" s="33"/>
      <c r="Q5" s="33"/>
      <c r="R5" s="5"/>
      <c r="T5" s="43" t="s">
        <v>47</v>
      </c>
    </row>
    <row r="6" spans="1:20" x14ac:dyDescent="0.2">
      <c r="A6" s="50" t="s">
        <v>40</v>
      </c>
      <c r="B6" t="s">
        <v>26</v>
      </c>
      <c r="C6" s="52" t="s">
        <v>26</v>
      </c>
      <c r="D6" s="49"/>
      <c r="E6" s="49"/>
      <c r="F6" s="49"/>
      <c r="G6" s="53"/>
      <c r="I6" s="54" t="s">
        <v>26</v>
      </c>
      <c r="J6" s="10"/>
      <c r="K6" s="10"/>
      <c r="L6" s="7"/>
      <c r="N6" s="15"/>
      <c r="O6" s="10"/>
      <c r="P6" s="10"/>
      <c r="Q6" s="10"/>
      <c r="R6" s="51" t="s">
        <v>26</v>
      </c>
      <c r="T6" s="44" t="s">
        <v>50</v>
      </c>
    </row>
    <row r="7" spans="1:20" x14ac:dyDescent="0.2">
      <c r="A7" s="50" t="s">
        <v>40</v>
      </c>
      <c r="B7" t="s">
        <v>26</v>
      </c>
      <c r="C7" s="52" t="s">
        <v>26</v>
      </c>
      <c r="D7" s="49"/>
      <c r="E7" s="49"/>
      <c r="F7" s="49"/>
      <c r="G7" s="53"/>
      <c r="I7" s="15"/>
      <c r="J7" s="55" t="s">
        <v>26</v>
      </c>
      <c r="K7" s="10"/>
      <c r="L7" s="7"/>
      <c r="N7" s="15"/>
      <c r="O7" s="10"/>
      <c r="P7" s="10"/>
      <c r="Q7" s="10"/>
      <c r="R7" s="51" t="s">
        <v>26</v>
      </c>
      <c r="T7" s="45" t="s">
        <v>52</v>
      </c>
    </row>
    <row r="8" spans="1:20" x14ac:dyDescent="0.2">
      <c r="A8" s="50" t="s">
        <v>40</v>
      </c>
      <c r="B8" t="s">
        <v>26</v>
      </c>
      <c r="C8" s="52" t="s">
        <v>26</v>
      </c>
      <c r="D8" s="49"/>
      <c r="E8" s="49"/>
      <c r="F8" s="49"/>
      <c r="G8" s="53"/>
      <c r="I8" s="15"/>
      <c r="J8" s="10"/>
      <c r="K8" s="55" t="s">
        <v>26</v>
      </c>
      <c r="L8" s="7"/>
      <c r="N8" s="15"/>
      <c r="O8" s="10"/>
      <c r="P8" s="10"/>
      <c r="Q8" s="10"/>
      <c r="R8" s="51" t="s">
        <v>26</v>
      </c>
      <c r="T8" s="45"/>
    </row>
    <row r="9" spans="1:20" x14ac:dyDescent="0.2">
      <c r="A9" s="50" t="s">
        <v>40</v>
      </c>
      <c r="B9" t="s">
        <v>26</v>
      </c>
      <c r="C9" s="52" t="s">
        <v>26</v>
      </c>
      <c r="D9" s="49"/>
      <c r="E9" s="49"/>
      <c r="F9" s="49"/>
      <c r="G9" s="53"/>
      <c r="I9" s="15"/>
      <c r="J9" s="10"/>
      <c r="K9" s="10"/>
      <c r="L9" s="56" t="s">
        <v>26</v>
      </c>
      <c r="N9" s="15"/>
      <c r="O9" s="10"/>
      <c r="P9" s="10"/>
      <c r="Q9" s="10"/>
      <c r="R9" s="51" t="s">
        <v>26</v>
      </c>
    </row>
    <row r="10" spans="1:20" ht="16" x14ac:dyDescent="0.2">
      <c r="A10" s="46" t="s">
        <v>79</v>
      </c>
      <c r="B10" s="40" t="s">
        <v>26</v>
      </c>
      <c r="C10" s="57"/>
      <c r="D10" s="58" t="s">
        <v>26</v>
      </c>
      <c r="E10" s="49"/>
      <c r="F10" s="49"/>
      <c r="G10" s="53"/>
      <c r="I10" s="58" t="s">
        <v>26</v>
      </c>
      <c r="J10" s="10"/>
      <c r="K10" s="10"/>
      <c r="L10" s="7"/>
      <c r="N10" s="15"/>
      <c r="O10" s="10"/>
      <c r="P10" s="10" t="s">
        <v>26</v>
      </c>
      <c r="Q10" s="10"/>
      <c r="R10" s="7"/>
    </row>
    <row r="11" spans="1:20" ht="16" x14ac:dyDescent="0.2">
      <c r="A11" s="46" t="s">
        <v>80</v>
      </c>
      <c r="B11" s="40" t="s">
        <v>26</v>
      </c>
      <c r="C11" s="57"/>
      <c r="D11" s="58" t="s">
        <v>26</v>
      </c>
      <c r="E11" s="49"/>
      <c r="F11" s="49"/>
      <c r="G11" s="53"/>
      <c r="I11" s="15"/>
      <c r="J11" s="58" t="s">
        <v>26</v>
      </c>
      <c r="K11" s="10"/>
      <c r="L11" s="7"/>
      <c r="N11" s="15"/>
      <c r="O11" s="10"/>
      <c r="P11" s="10" t="s">
        <v>26</v>
      </c>
      <c r="Q11" s="10"/>
      <c r="R11" s="7"/>
    </row>
    <row r="12" spans="1:20" ht="16" x14ac:dyDescent="0.2">
      <c r="A12" s="46" t="s">
        <v>81</v>
      </c>
      <c r="B12" s="40" t="s">
        <v>26</v>
      </c>
      <c r="C12" s="57"/>
      <c r="D12" s="58" t="s">
        <v>26</v>
      </c>
      <c r="E12" s="49"/>
      <c r="F12" s="49"/>
      <c r="G12" s="53"/>
      <c r="I12" s="15"/>
      <c r="J12" s="10"/>
      <c r="K12" s="58" t="s">
        <v>26</v>
      </c>
      <c r="L12" s="7"/>
      <c r="N12" s="15"/>
      <c r="O12" s="10"/>
      <c r="P12" s="10" t="s">
        <v>26</v>
      </c>
      <c r="Q12" s="10"/>
      <c r="R12" s="7"/>
    </row>
    <row r="13" spans="1:20" ht="16" x14ac:dyDescent="0.2">
      <c r="A13" s="46" t="s">
        <v>82</v>
      </c>
      <c r="B13" s="40" t="s">
        <v>26</v>
      </c>
      <c r="C13" s="57"/>
      <c r="D13" s="58" t="s">
        <v>26</v>
      </c>
      <c r="E13" s="49"/>
      <c r="F13" s="49"/>
      <c r="G13" s="53"/>
      <c r="I13" s="15"/>
      <c r="J13" s="10"/>
      <c r="K13" s="10"/>
      <c r="L13" s="58" t="s">
        <v>26</v>
      </c>
      <c r="N13" s="15"/>
      <c r="O13" s="10"/>
      <c r="P13" s="10" t="s">
        <v>26</v>
      </c>
      <c r="Q13" s="10"/>
      <c r="R13" s="7"/>
    </row>
    <row r="14" spans="1:20" x14ac:dyDescent="0.2">
      <c r="A14" s="59" t="s">
        <v>83</v>
      </c>
      <c r="B14" s="60" t="s">
        <v>26</v>
      </c>
      <c r="C14" s="57"/>
      <c r="D14" s="49"/>
      <c r="E14" s="61" t="s">
        <v>26</v>
      </c>
      <c r="F14" s="49"/>
      <c r="G14" s="53"/>
      <c r="I14" s="61" t="s">
        <v>26</v>
      </c>
      <c r="J14" s="10"/>
      <c r="K14" s="10"/>
      <c r="L14" s="7"/>
      <c r="N14" s="15"/>
      <c r="O14" s="10"/>
      <c r="P14" s="10" t="s">
        <v>26</v>
      </c>
      <c r="Q14" s="10"/>
      <c r="R14" s="7"/>
    </row>
    <row r="15" spans="1:20" x14ac:dyDescent="0.2">
      <c r="A15" s="59" t="s">
        <v>83</v>
      </c>
      <c r="B15" s="60" t="s">
        <v>26</v>
      </c>
      <c r="C15" s="57"/>
      <c r="D15" s="49"/>
      <c r="E15" s="61" t="s">
        <v>26</v>
      </c>
      <c r="F15" s="49"/>
      <c r="G15" s="53"/>
      <c r="I15" s="15"/>
      <c r="J15" s="61" t="s">
        <v>26</v>
      </c>
      <c r="K15" s="10"/>
      <c r="L15" s="7"/>
      <c r="N15" s="15"/>
      <c r="O15" s="10"/>
      <c r="P15" s="10" t="s">
        <v>26</v>
      </c>
      <c r="Q15" s="10"/>
      <c r="R15" s="7"/>
    </row>
    <row r="16" spans="1:20" x14ac:dyDescent="0.2">
      <c r="A16" s="59" t="s">
        <v>84</v>
      </c>
      <c r="B16" s="60" t="s">
        <v>26</v>
      </c>
      <c r="C16" s="57"/>
      <c r="D16" s="49"/>
      <c r="E16" s="61" t="s">
        <v>26</v>
      </c>
      <c r="F16" s="49"/>
      <c r="G16" s="53"/>
      <c r="I16" s="15"/>
      <c r="J16" s="10"/>
      <c r="K16" s="61" t="s">
        <v>26</v>
      </c>
      <c r="L16" s="7"/>
      <c r="N16" s="15"/>
      <c r="O16" s="10"/>
      <c r="P16" s="10" t="s">
        <v>26</v>
      </c>
      <c r="Q16" s="10"/>
      <c r="R16" s="7"/>
    </row>
    <row r="17" spans="1:18" x14ac:dyDescent="0.2">
      <c r="A17" s="59" t="s">
        <v>85</v>
      </c>
      <c r="B17" s="60" t="s">
        <v>26</v>
      </c>
      <c r="C17" s="57"/>
      <c r="D17" s="49"/>
      <c r="E17" s="61" t="s">
        <v>26</v>
      </c>
      <c r="F17" s="49"/>
      <c r="G17" s="53"/>
      <c r="I17" s="15"/>
      <c r="J17" s="10"/>
      <c r="K17" s="10"/>
      <c r="L17" s="61" t="s">
        <v>26</v>
      </c>
      <c r="N17" s="15"/>
      <c r="O17" s="10"/>
      <c r="P17" s="10" t="s">
        <v>26</v>
      </c>
      <c r="Q17" s="10"/>
      <c r="R17" s="7"/>
    </row>
    <row r="18" spans="1:18" x14ac:dyDescent="0.2">
      <c r="A18" s="59" t="s">
        <v>86</v>
      </c>
      <c r="B18" s="60" t="s">
        <v>26</v>
      </c>
      <c r="C18" s="57"/>
      <c r="D18" s="49"/>
      <c r="E18" s="49"/>
      <c r="F18" s="62" t="s">
        <v>26</v>
      </c>
      <c r="G18" s="53"/>
      <c r="I18" s="63" t="s">
        <v>26</v>
      </c>
      <c r="J18" s="10"/>
      <c r="K18" s="10"/>
      <c r="L18" s="7"/>
      <c r="N18" s="15"/>
      <c r="O18" s="10"/>
      <c r="P18" s="10" t="s">
        <v>26</v>
      </c>
      <c r="Q18" s="10"/>
      <c r="R18" s="7"/>
    </row>
    <row r="19" spans="1:18" x14ac:dyDescent="0.2">
      <c r="A19" s="50" t="s">
        <v>40</v>
      </c>
      <c r="B19" t="s">
        <v>26</v>
      </c>
      <c r="C19" s="57"/>
      <c r="D19" s="49"/>
      <c r="E19" s="49"/>
      <c r="F19" s="49"/>
      <c r="G19" s="64" t="s">
        <v>26</v>
      </c>
      <c r="I19" s="54" t="s">
        <v>26</v>
      </c>
      <c r="J19" s="10"/>
      <c r="K19" s="10"/>
      <c r="L19" s="7"/>
      <c r="N19" s="15"/>
      <c r="O19" s="10"/>
      <c r="P19" s="10"/>
      <c r="Q19" s="10"/>
      <c r="R19" s="51" t="s">
        <v>26</v>
      </c>
    </row>
    <row r="20" spans="1:18" x14ac:dyDescent="0.2">
      <c r="A20" s="50" t="s">
        <v>40</v>
      </c>
      <c r="B20" t="s">
        <v>26</v>
      </c>
      <c r="C20" s="57"/>
      <c r="D20" s="49"/>
      <c r="E20" s="49"/>
      <c r="F20" s="49"/>
      <c r="G20" s="64" t="s">
        <v>26</v>
      </c>
      <c r="I20" s="15"/>
      <c r="J20" s="55" t="s">
        <v>26</v>
      </c>
      <c r="K20" s="10"/>
      <c r="L20" s="7"/>
      <c r="N20" s="15"/>
      <c r="O20" s="10"/>
      <c r="P20" s="10"/>
      <c r="Q20" s="10"/>
      <c r="R20" s="51" t="s">
        <v>26</v>
      </c>
    </row>
    <row r="21" spans="1:18" x14ac:dyDescent="0.2">
      <c r="A21" s="50" t="s">
        <v>40</v>
      </c>
      <c r="B21" t="s">
        <v>26</v>
      </c>
      <c r="C21" s="57"/>
      <c r="D21" s="49"/>
      <c r="E21" s="49"/>
      <c r="F21" s="49"/>
      <c r="G21" s="64" t="s">
        <v>26</v>
      </c>
      <c r="I21" s="15"/>
      <c r="J21" s="10"/>
      <c r="K21" s="55" t="s">
        <v>26</v>
      </c>
      <c r="L21" s="7"/>
      <c r="N21" s="15"/>
      <c r="O21" s="10"/>
      <c r="P21" s="10"/>
      <c r="Q21" s="10"/>
      <c r="R21" s="51"/>
    </row>
    <row r="22" spans="1:18" x14ac:dyDescent="0.2">
      <c r="A22" s="50" t="s">
        <v>40</v>
      </c>
      <c r="B22" t="s">
        <v>26</v>
      </c>
      <c r="C22" s="57"/>
      <c r="D22" s="49"/>
      <c r="E22" s="49"/>
      <c r="F22" s="49"/>
      <c r="G22" s="64" t="s">
        <v>26</v>
      </c>
      <c r="I22" s="15"/>
      <c r="J22" s="10"/>
      <c r="K22" s="10"/>
      <c r="L22" s="56" t="s">
        <v>26</v>
      </c>
      <c r="N22" s="15"/>
      <c r="O22" s="10"/>
      <c r="P22" s="10"/>
      <c r="Q22" s="10"/>
      <c r="R22" s="51" t="s">
        <v>26</v>
      </c>
    </row>
    <row r="23" spans="1:18" x14ac:dyDescent="0.2">
      <c r="C23" s="8"/>
      <c r="D23" s="65"/>
      <c r="E23" s="65"/>
      <c r="F23" s="65"/>
      <c r="G23" s="32"/>
      <c r="I23" s="30"/>
      <c r="J23" s="31"/>
      <c r="K23" s="31"/>
      <c r="L23" s="9"/>
      <c r="N23" s="30"/>
      <c r="O23" s="31"/>
      <c r="P23" s="31"/>
      <c r="Q23" s="31"/>
      <c r="R23" s="9"/>
    </row>
  </sheetData>
  <mergeCells count="3">
    <mergeCell ref="C3:G3"/>
    <mergeCell ref="I3:L3"/>
    <mergeCell ref="N3:R3"/>
  </mergeCells>
  <pageMargins left="0.7" right="0.7" top="0.75" bottom="0.75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3:R16"/>
  <sheetViews>
    <sheetView zoomScale="121" zoomScaleNormal="121" workbookViewId="0">
      <selection activeCell="R4" sqref="R4"/>
    </sheetView>
  </sheetViews>
  <sheetFormatPr baseColWidth="10" defaultColWidth="8.6640625" defaultRowHeight="15" x14ac:dyDescent="0.2"/>
  <cols>
    <col min="1" max="1" width="28.33203125" customWidth="1"/>
    <col min="2" max="2" width="3.5" customWidth="1"/>
    <col min="3" max="3" width="8.6640625" customWidth="1"/>
    <col min="4" max="4" width="11.5" customWidth="1"/>
    <col min="5" max="5" width="6.1640625" customWidth="1"/>
    <col min="6" max="7" width="10" customWidth="1"/>
    <col min="8" max="8" width="8" customWidth="1"/>
    <col min="9" max="9" width="10" customWidth="1"/>
    <col min="10" max="10" width="11" customWidth="1"/>
    <col min="12" max="12" width="9" customWidth="1"/>
    <col min="13" max="13" width="10.6640625" customWidth="1"/>
    <col min="14" max="14" width="12.83203125" customWidth="1"/>
    <col min="15" max="15" width="10.5" customWidth="1"/>
    <col min="16" max="16" width="11.6640625" customWidth="1"/>
    <col min="18" max="18" width="21.6640625" customWidth="1"/>
  </cols>
  <sheetData>
    <row r="3" spans="1:18" x14ac:dyDescent="0.2">
      <c r="A3" t="s">
        <v>69</v>
      </c>
      <c r="C3" s="166" t="s">
        <v>87</v>
      </c>
      <c r="D3" s="166"/>
      <c r="E3" s="166"/>
      <c r="F3" s="2"/>
      <c r="H3" s="166" t="s">
        <v>43</v>
      </c>
      <c r="I3" s="166"/>
      <c r="J3" s="166"/>
      <c r="L3" s="167" t="s">
        <v>8</v>
      </c>
      <c r="M3" s="167"/>
      <c r="N3" s="167"/>
      <c r="O3" s="167"/>
      <c r="P3" s="167"/>
    </row>
    <row r="4" spans="1:18" x14ac:dyDescent="0.2">
      <c r="B4">
        <f>COUNTA(B6:B16)</f>
        <v>10</v>
      </c>
      <c r="C4" s="12" t="s">
        <v>72</v>
      </c>
      <c r="D4" s="12" t="s">
        <v>88</v>
      </c>
      <c r="E4" s="1" t="s">
        <v>73</v>
      </c>
      <c r="F4" s="1" t="s">
        <v>89</v>
      </c>
      <c r="H4" s="12" t="s">
        <v>17</v>
      </c>
      <c r="I4" s="12" t="s">
        <v>16</v>
      </c>
      <c r="J4" s="1" t="s">
        <v>78</v>
      </c>
      <c r="L4" s="15" t="s">
        <v>21</v>
      </c>
      <c r="M4" s="15" t="s">
        <v>22</v>
      </c>
      <c r="N4" s="15" t="s">
        <v>23</v>
      </c>
      <c r="O4" s="3" t="s">
        <v>24</v>
      </c>
      <c r="P4" s="2" t="s">
        <v>40</v>
      </c>
      <c r="R4" s="41" t="s">
        <v>44</v>
      </c>
    </row>
    <row r="5" spans="1:18" x14ac:dyDescent="0.2">
      <c r="C5" s="66"/>
      <c r="D5" s="67"/>
      <c r="E5" s="68"/>
      <c r="F5" s="68"/>
      <c r="H5" s="6"/>
      <c r="J5" s="27"/>
      <c r="L5" s="69"/>
      <c r="M5" s="70"/>
      <c r="N5" s="70"/>
      <c r="O5" s="70"/>
      <c r="P5" s="71"/>
      <c r="R5" s="43" t="s">
        <v>47</v>
      </c>
    </row>
    <row r="6" spans="1:18" x14ac:dyDescent="0.2">
      <c r="A6" s="50" t="s">
        <v>40</v>
      </c>
      <c r="B6" t="s">
        <v>26</v>
      </c>
      <c r="C6" s="52" t="s">
        <v>26</v>
      </c>
      <c r="D6" s="49"/>
      <c r="E6" s="49"/>
      <c r="F6" s="53"/>
      <c r="G6" s="10"/>
      <c r="H6" s="52" t="s">
        <v>26</v>
      </c>
      <c r="I6" s="49"/>
      <c r="J6" s="53"/>
      <c r="L6" s="57"/>
      <c r="M6" s="49"/>
      <c r="N6" s="67"/>
      <c r="O6" s="49"/>
      <c r="P6" s="72" t="s">
        <v>26</v>
      </c>
      <c r="R6" s="44" t="s">
        <v>50</v>
      </c>
    </row>
    <row r="7" spans="1:18" ht="29" customHeight="1" x14ac:dyDescent="0.2">
      <c r="A7" s="46" t="s">
        <v>90</v>
      </c>
      <c r="B7" s="40" t="s">
        <v>26</v>
      </c>
      <c r="C7" s="57"/>
      <c r="D7" s="73" t="s">
        <v>26</v>
      </c>
      <c r="E7" s="49"/>
      <c r="F7" s="53"/>
      <c r="G7" s="10"/>
      <c r="H7" s="74" t="s">
        <v>26</v>
      </c>
      <c r="I7" s="49"/>
      <c r="J7" s="53"/>
      <c r="L7" s="57"/>
      <c r="M7" s="49"/>
      <c r="N7" s="49" t="s">
        <v>26</v>
      </c>
      <c r="O7" s="49"/>
      <c r="P7" s="53"/>
      <c r="R7" s="45" t="s">
        <v>52</v>
      </c>
    </row>
    <row r="8" spans="1:18" ht="32" x14ac:dyDescent="0.2">
      <c r="A8" s="46" t="s">
        <v>91</v>
      </c>
      <c r="B8" s="40" t="s">
        <v>26</v>
      </c>
      <c r="C8" s="57"/>
      <c r="D8" s="73" t="s">
        <v>26</v>
      </c>
      <c r="E8" s="49"/>
      <c r="F8" s="53"/>
      <c r="G8" s="10"/>
      <c r="H8" s="57"/>
      <c r="I8" s="73" t="s">
        <v>26</v>
      </c>
      <c r="J8" s="53"/>
      <c r="L8" s="57"/>
      <c r="M8" s="49"/>
      <c r="N8" s="49" t="s">
        <v>26</v>
      </c>
      <c r="O8" s="49"/>
      <c r="P8" s="53"/>
    </row>
    <row r="9" spans="1:18" ht="32" x14ac:dyDescent="0.2">
      <c r="A9" s="46" t="s">
        <v>65</v>
      </c>
      <c r="B9" s="40" t="s">
        <v>26</v>
      </c>
      <c r="C9" s="57"/>
      <c r="D9" s="73" t="s">
        <v>26</v>
      </c>
      <c r="E9" s="49"/>
      <c r="F9" s="53"/>
      <c r="G9" s="10"/>
      <c r="H9" s="57"/>
      <c r="I9" s="49"/>
      <c r="J9" s="75" t="s">
        <v>26</v>
      </c>
      <c r="L9" s="57"/>
      <c r="M9" s="49"/>
      <c r="N9" s="49" t="s">
        <v>26</v>
      </c>
      <c r="O9" s="49"/>
      <c r="P9" s="53"/>
    </row>
    <row r="10" spans="1:18" ht="32" x14ac:dyDescent="0.2">
      <c r="A10" s="46" t="s">
        <v>81</v>
      </c>
      <c r="B10" s="40" t="s">
        <v>26</v>
      </c>
      <c r="C10" s="57"/>
      <c r="D10" s="49"/>
      <c r="E10" s="73" t="s">
        <v>26</v>
      </c>
      <c r="F10" s="53"/>
      <c r="G10" s="10"/>
      <c r="H10" s="74" t="s">
        <v>26</v>
      </c>
      <c r="I10" s="49"/>
      <c r="J10" s="53"/>
      <c r="L10" s="57"/>
      <c r="M10" s="49"/>
      <c r="N10" s="49" t="s">
        <v>26</v>
      </c>
      <c r="O10" s="49"/>
      <c r="P10" s="53"/>
    </row>
    <row r="11" spans="1:18" ht="16" x14ac:dyDescent="0.2">
      <c r="A11" s="46" t="s">
        <v>80</v>
      </c>
      <c r="B11" s="40" t="s">
        <v>26</v>
      </c>
      <c r="C11" s="57"/>
      <c r="D11" s="49"/>
      <c r="E11" s="73" t="s">
        <v>26</v>
      </c>
      <c r="F11" s="53"/>
      <c r="G11" s="10"/>
      <c r="H11" s="57"/>
      <c r="I11" s="73" t="s">
        <v>26</v>
      </c>
      <c r="J11" s="53"/>
      <c r="L11" s="57"/>
      <c r="M11" s="49"/>
      <c r="N11" s="49" t="s">
        <v>26</v>
      </c>
      <c r="O11" s="49"/>
      <c r="P11" s="53"/>
    </row>
    <row r="12" spans="1:18" ht="16" x14ac:dyDescent="0.2">
      <c r="A12" s="46" t="s">
        <v>82</v>
      </c>
      <c r="B12" s="40" t="s">
        <v>26</v>
      </c>
      <c r="C12" s="57"/>
      <c r="D12" s="49"/>
      <c r="E12" s="73" t="s">
        <v>26</v>
      </c>
      <c r="F12" s="53"/>
      <c r="G12" s="10"/>
      <c r="H12" s="57"/>
      <c r="I12" s="49"/>
      <c r="J12" s="75" t="s">
        <v>26</v>
      </c>
      <c r="L12" s="57"/>
      <c r="M12" s="49"/>
      <c r="N12" s="49" t="s">
        <v>26</v>
      </c>
      <c r="O12" s="49"/>
      <c r="P12" s="53"/>
    </row>
    <row r="13" spans="1:18" ht="16" x14ac:dyDescent="0.2">
      <c r="A13" s="46" t="s">
        <v>92</v>
      </c>
      <c r="B13" t="s">
        <v>26</v>
      </c>
      <c r="C13" s="57"/>
      <c r="D13" s="49"/>
      <c r="E13" s="49"/>
      <c r="F13" s="75" t="s">
        <v>26</v>
      </c>
      <c r="H13" s="74" t="s">
        <v>26</v>
      </c>
      <c r="I13" s="49"/>
      <c r="J13" s="53"/>
      <c r="L13" s="57"/>
      <c r="M13" s="49"/>
      <c r="N13" s="49"/>
      <c r="O13" s="49" t="s">
        <v>26</v>
      </c>
      <c r="P13" s="53"/>
    </row>
    <row r="14" spans="1:18" ht="32" x14ac:dyDescent="0.2">
      <c r="A14" s="46" t="s">
        <v>93</v>
      </c>
      <c r="B14" s="40" t="s">
        <v>26</v>
      </c>
      <c r="C14" s="57"/>
      <c r="D14" s="49"/>
      <c r="E14" s="49"/>
      <c r="F14" s="75" t="s">
        <v>26</v>
      </c>
      <c r="H14" s="57"/>
      <c r="I14" s="73" t="s">
        <v>26</v>
      </c>
      <c r="J14" s="53"/>
      <c r="L14" s="57"/>
      <c r="M14" s="49"/>
      <c r="N14" s="49"/>
      <c r="O14" s="49" t="s">
        <v>26</v>
      </c>
      <c r="P14" s="53"/>
    </row>
    <row r="15" spans="1:18" ht="32" x14ac:dyDescent="0.2">
      <c r="A15" s="46" t="s">
        <v>93</v>
      </c>
      <c r="B15" s="40" t="s">
        <v>26</v>
      </c>
      <c r="C15" s="57"/>
      <c r="D15" s="49"/>
      <c r="E15" s="49"/>
      <c r="F15" s="75" t="s">
        <v>26</v>
      </c>
      <c r="H15" s="57"/>
      <c r="I15" s="49"/>
      <c r="J15" s="75" t="s">
        <v>26</v>
      </c>
      <c r="L15" s="57"/>
      <c r="M15" s="49"/>
      <c r="N15" s="49"/>
      <c r="O15" s="49" t="s">
        <v>26</v>
      </c>
      <c r="P15" s="53"/>
    </row>
    <row r="16" spans="1:18" x14ac:dyDescent="0.2">
      <c r="C16" s="8"/>
      <c r="D16" s="65"/>
      <c r="E16" s="65"/>
      <c r="F16" s="32"/>
      <c r="H16" s="8"/>
      <c r="I16" s="65"/>
      <c r="J16" s="32"/>
      <c r="L16" s="30"/>
      <c r="M16" s="31"/>
      <c r="N16" s="31"/>
      <c r="O16" s="31"/>
      <c r="P16" s="9"/>
    </row>
  </sheetData>
  <mergeCells count="3">
    <mergeCell ref="C3:E3"/>
    <mergeCell ref="H3:J3"/>
    <mergeCell ref="L3:P3"/>
  </mergeCells>
  <pageMargins left="0.7" right="0.7" top="0.75" bottom="0.75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9"/>
  <sheetViews>
    <sheetView zoomScale="121" zoomScaleNormal="121" workbookViewId="0">
      <selection activeCell="J47" sqref="J47"/>
    </sheetView>
  </sheetViews>
  <sheetFormatPr baseColWidth="10" defaultColWidth="10.1640625" defaultRowHeight="15" x14ac:dyDescent="0.2"/>
  <cols>
    <col min="1" max="1" width="8.5" customWidth="1"/>
    <col min="2" max="2" width="11.6640625" customWidth="1"/>
    <col min="3" max="3" width="17.5" customWidth="1"/>
    <col min="4" max="4" width="16" customWidth="1"/>
    <col min="5" max="5" width="17.5" customWidth="1"/>
    <col min="6" max="6" width="12.33203125" customWidth="1"/>
    <col min="7" max="7" width="16.6640625" customWidth="1"/>
    <col min="10" max="10" width="16.1640625" customWidth="1"/>
  </cols>
  <sheetData>
    <row r="1" spans="1:10" x14ac:dyDescent="0.2">
      <c r="F1" t="s">
        <v>94</v>
      </c>
    </row>
    <row r="2" spans="1:10" x14ac:dyDescent="0.2">
      <c r="B2" s="76" t="s">
        <v>95</v>
      </c>
      <c r="C2" s="77" t="s">
        <v>96</v>
      </c>
      <c r="D2" s="78" t="s">
        <v>97</v>
      </c>
      <c r="E2" s="78" t="s">
        <v>98</v>
      </c>
      <c r="F2" s="78" t="s">
        <v>99</v>
      </c>
      <c r="G2" s="79" t="s">
        <v>100</v>
      </c>
    </row>
    <row r="3" spans="1:10" x14ac:dyDescent="0.2">
      <c r="B3" s="80"/>
      <c r="C3" s="80" t="s">
        <v>97</v>
      </c>
      <c r="D3" s="25" t="s">
        <v>101</v>
      </c>
      <c r="E3" s="81" t="s">
        <v>102</v>
      </c>
      <c r="G3" s="27"/>
      <c r="I3" s="82" t="s">
        <v>101</v>
      </c>
      <c r="J3" s="17" t="s">
        <v>103</v>
      </c>
    </row>
    <row r="4" spans="1:10" x14ac:dyDescent="0.2">
      <c r="B4" s="80" t="s">
        <v>104</v>
      </c>
      <c r="C4" s="80"/>
      <c r="D4" s="25" t="s">
        <v>101</v>
      </c>
      <c r="E4" s="81" t="s">
        <v>102</v>
      </c>
      <c r="G4" s="27"/>
      <c r="I4" s="83" t="s">
        <v>102</v>
      </c>
      <c r="J4" s="32" t="s">
        <v>105</v>
      </c>
    </row>
    <row r="5" spans="1:10" x14ac:dyDescent="0.2">
      <c r="A5" t="s">
        <v>106</v>
      </c>
      <c r="B5" s="80"/>
      <c r="C5" s="80" t="s">
        <v>98</v>
      </c>
      <c r="D5" s="6"/>
      <c r="E5" s="25" t="s">
        <v>101</v>
      </c>
      <c r="F5" s="81" t="s">
        <v>102</v>
      </c>
      <c r="G5" s="27"/>
    </row>
    <row r="6" spans="1:10" x14ac:dyDescent="0.2">
      <c r="B6" s="80" t="s">
        <v>73</v>
      </c>
      <c r="C6" s="80"/>
      <c r="D6" s="6"/>
      <c r="E6" s="25" t="s">
        <v>101</v>
      </c>
      <c r="F6" s="81" t="s">
        <v>102</v>
      </c>
      <c r="G6" s="27"/>
    </row>
    <row r="7" spans="1:10" x14ac:dyDescent="0.2">
      <c r="B7" s="80"/>
      <c r="C7" s="80" t="s">
        <v>99</v>
      </c>
      <c r="D7" s="6"/>
      <c r="F7" s="25" t="s">
        <v>101</v>
      </c>
      <c r="G7" s="84" t="s">
        <v>102</v>
      </c>
    </row>
    <row r="8" spans="1:10" x14ac:dyDescent="0.2">
      <c r="B8" s="80" t="s">
        <v>107</v>
      </c>
      <c r="C8" s="80"/>
      <c r="D8" s="6"/>
      <c r="F8" s="25" t="s">
        <v>101</v>
      </c>
      <c r="G8" s="84" t="s">
        <v>102</v>
      </c>
    </row>
    <row r="9" spans="1:10" x14ac:dyDescent="0.2">
      <c r="B9" s="85"/>
      <c r="C9" s="85" t="s">
        <v>100</v>
      </c>
      <c r="D9" s="8"/>
      <c r="E9" s="65"/>
      <c r="F9" s="65"/>
      <c r="G9" s="86" t="s">
        <v>101</v>
      </c>
    </row>
  </sheetData>
  <pageMargins left="0.78749999999999998" right="0.78749999999999998" top="1.05277777777778" bottom="1.05277777777778" header="0.78749999999999998" footer="0.78749999999999998"/>
  <pageSetup paperSize="9" orientation="portrait" horizontalDpi="300" verticalDpi="300"/>
  <headerFooter>
    <oddHeader>&amp;C&amp;"Times New Roman,Regular"&amp;12&amp;Kffffff&amp;A</oddHeader>
    <oddFooter>&amp;C&amp;"Times New Roman,Regular"&amp;12&amp;KffffffPage &amp;P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3:G18"/>
  <sheetViews>
    <sheetView zoomScale="121" zoomScaleNormal="121" workbookViewId="0">
      <selection activeCell="G6" sqref="G6"/>
    </sheetView>
  </sheetViews>
  <sheetFormatPr baseColWidth="10" defaultColWidth="10.1640625" defaultRowHeight="15" x14ac:dyDescent="0.2"/>
  <cols>
    <col min="1" max="1" width="21" customWidth="1"/>
    <col min="2" max="2" width="16" customWidth="1"/>
    <col min="6" max="6" width="37.6640625" customWidth="1"/>
    <col min="7" max="7" width="28.6640625" customWidth="1"/>
  </cols>
  <sheetData>
    <row r="3" spans="1:7" x14ac:dyDescent="0.2">
      <c r="F3" s="87" t="s">
        <v>100</v>
      </c>
      <c r="G3" s="87" t="s">
        <v>99</v>
      </c>
    </row>
    <row r="4" spans="1:7" x14ac:dyDescent="0.2">
      <c r="D4" s="88" t="s">
        <v>108</v>
      </c>
      <c r="E4" s="169" t="s">
        <v>95</v>
      </c>
      <c r="F4" s="89" t="s">
        <v>109</v>
      </c>
      <c r="G4" s="90" t="s">
        <v>110</v>
      </c>
    </row>
    <row r="5" spans="1:7" x14ac:dyDescent="0.2">
      <c r="A5" s="91" t="s">
        <v>111</v>
      </c>
      <c r="B5" s="92" t="s">
        <v>112</v>
      </c>
      <c r="D5" s="93" t="s">
        <v>11</v>
      </c>
      <c r="E5" s="169"/>
      <c r="F5" s="94" t="s">
        <v>109</v>
      </c>
      <c r="G5" s="95" t="s">
        <v>110</v>
      </c>
    </row>
    <row r="6" spans="1:7" x14ac:dyDescent="0.2">
      <c r="A6" s="93" t="s">
        <v>113</v>
      </c>
      <c r="B6" s="96" t="s">
        <v>112</v>
      </c>
      <c r="D6" s="97" t="s">
        <v>10</v>
      </c>
      <c r="E6" s="169"/>
      <c r="F6" s="98" t="s">
        <v>109</v>
      </c>
      <c r="G6" s="95" t="s">
        <v>110</v>
      </c>
    </row>
    <row r="7" spans="1:7" x14ac:dyDescent="0.2">
      <c r="A7" s="93" t="s">
        <v>114</v>
      </c>
      <c r="B7" s="99" t="s">
        <v>112</v>
      </c>
      <c r="D7" s="88" t="s">
        <v>108</v>
      </c>
      <c r="E7" s="169" t="s">
        <v>115</v>
      </c>
      <c r="F7" s="90" t="s">
        <v>116</v>
      </c>
      <c r="G7" s="90" t="s">
        <v>116</v>
      </c>
    </row>
    <row r="8" spans="1:7" x14ac:dyDescent="0.2">
      <c r="A8" s="93" t="s">
        <v>117</v>
      </c>
      <c r="B8" s="100" t="s">
        <v>118</v>
      </c>
      <c r="D8" s="93" t="s">
        <v>11</v>
      </c>
      <c r="E8" s="169"/>
      <c r="F8" s="95" t="s">
        <v>116</v>
      </c>
      <c r="G8" s="95" t="s">
        <v>116</v>
      </c>
    </row>
    <row r="9" spans="1:7" x14ac:dyDescent="0.2">
      <c r="A9" s="97" t="s">
        <v>119</v>
      </c>
      <c r="B9" s="101"/>
      <c r="D9" s="97" t="s">
        <v>10</v>
      </c>
      <c r="E9" s="169"/>
      <c r="F9" s="95" t="s">
        <v>116</v>
      </c>
      <c r="G9" s="95" t="s">
        <v>116</v>
      </c>
    </row>
    <row r="10" spans="1:7" x14ac:dyDescent="0.2">
      <c r="D10" s="88" t="s">
        <v>108</v>
      </c>
      <c r="E10" s="169" t="s">
        <v>120</v>
      </c>
      <c r="F10" s="102"/>
      <c r="G10" s="90" t="s">
        <v>121</v>
      </c>
    </row>
    <row r="11" spans="1:7" x14ac:dyDescent="0.2">
      <c r="D11" s="93" t="s">
        <v>11</v>
      </c>
      <c r="E11" s="169"/>
      <c r="F11" s="103"/>
      <c r="G11" s="95" t="s">
        <v>121</v>
      </c>
    </row>
    <row r="12" spans="1:7" x14ac:dyDescent="0.2">
      <c r="D12" s="97" t="s">
        <v>10</v>
      </c>
      <c r="E12" s="169"/>
      <c r="F12" s="103"/>
      <c r="G12" s="95" t="s">
        <v>121</v>
      </c>
    </row>
    <row r="13" spans="1:7" x14ac:dyDescent="0.2">
      <c r="D13" s="88" t="s">
        <v>108</v>
      </c>
      <c r="E13" s="169" t="s">
        <v>20</v>
      </c>
      <c r="F13" s="102"/>
      <c r="G13" s="90" t="s">
        <v>122</v>
      </c>
    </row>
    <row r="14" spans="1:7" x14ac:dyDescent="0.2">
      <c r="D14" s="93" t="s">
        <v>11</v>
      </c>
      <c r="E14" s="169"/>
      <c r="F14" s="103"/>
      <c r="G14" s="95" t="s">
        <v>122</v>
      </c>
    </row>
    <row r="15" spans="1:7" x14ac:dyDescent="0.2">
      <c r="D15" s="97" t="s">
        <v>10</v>
      </c>
      <c r="E15" s="169"/>
      <c r="F15" s="104"/>
      <c r="G15" s="105" t="s">
        <v>122</v>
      </c>
    </row>
    <row r="16" spans="1:7" x14ac:dyDescent="0.2">
      <c r="D16" s="88" t="s">
        <v>108</v>
      </c>
      <c r="E16" s="169" t="s">
        <v>123</v>
      </c>
      <c r="F16" s="103"/>
      <c r="G16" s="95" t="s">
        <v>124</v>
      </c>
    </row>
    <row r="17" spans="4:7" x14ac:dyDescent="0.2">
      <c r="D17" s="93" t="s">
        <v>11</v>
      </c>
      <c r="E17" s="169"/>
      <c r="F17" s="103"/>
      <c r="G17" s="95" t="s">
        <v>124</v>
      </c>
    </row>
    <row r="18" spans="4:7" x14ac:dyDescent="0.2">
      <c r="D18" s="97" t="s">
        <v>10</v>
      </c>
      <c r="E18" s="169"/>
      <c r="F18" s="104"/>
      <c r="G18" s="105" t="s">
        <v>124</v>
      </c>
    </row>
  </sheetData>
  <mergeCells count="5">
    <mergeCell ref="E4:E6"/>
    <mergeCell ref="E7:E9"/>
    <mergeCell ref="E10:E12"/>
    <mergeCell ref="E13:E15"/>
    <mergeCell ref="E16:E18"/>
  </mergeCells>
  <pageMargins left="0.78749999999999998" right="0.78749999999999998" top="1.05277777777778" bottom="1.05277777777778" header="0.78749999999999998" footer="0.78749999999999998"/>
  <pageSetup paperSize="9" orientation="portrait" horizontalDpi="300" verticalDpi="300"/>
  <headerFooter>
    <oddHeader>&amp;C&amp;"Times New Roman,Regular"&amp;12&amp;Kffffff&amp;A</oddHeader>
    <oddFooter>&amp;C&amp;"Times New Roman,Regular"&amp;12&amp;KffffffPagina &amp;P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3:G15"/>
  <sheetViews>
    <sheetView zoomScale="121" zoomScaleNormal="121" workbookViewId="0">
      <selection activeCell="A5" sqref="A5"/>
    </sheetView>
  </sheetViews>
  <sheetFormatPr baseColWidth="10" defaultColWidth="10.1640625" defaultRowHeight="15" x14ac:dyDescent="0.2"/>
  <cols>
    <col min="1" max="1" width="21" customWidth="1"/>
    <col min="2" max="2" width="15.1640625" customWidth="1"/>
    <col min="4" max="4" width="10.33203125" customWidth="1"/>
    <col min="6" max="6" width="33.5" customWidth="1"/>
    <col min="7" max="7" width="32" customWidth="1"/>
  </cols>
  <sheetData>
    <row r="3" spans="1:7" x14ac:dyDescent="0.2">
      <c r="F3" s="87" t="s">
        <v>99</v>
      </c>
      <c r="G3" s="87" t="s">
        <v>98</v>
      </c>
    </row>
    <row r="4" spans="1:7" x14ac:dyDescent="0.2">
      <c r="D4" s="88" t="s">
        <v>108</v>
      </c>
      <c r="E4" s="169" t="s">
        <v>95</v>
      </c>
      <c r="F4" s="106" t="s">
        <v>125</v>
      </c>
      <c r="G4" s="90" t="s">
        <v>125</v>
      </c>
    </row>
    <row r="5" spans="1:7" x14ac:dyDescent="0.2">
      <c r="A5" s="91" t="s">
        <v>111</v>
      </c>
      <c r="B5" s="92" t="s">
        <v>112</v>
      </c>
      <c r="D5" s="93" t="s">
        <v>11</v>
      </c>
      <c r="E5" s="169"/>
      <c r="F5" s="94" t="s">
        <v>125</v>
      </c>
      <c r="G5" s="95" t="s">
        <v>125</v>
      </c>
    </row>
    <row r="6" spans="1:7" x14ac:dyDescent="0.2">
      <c r="A6" s="93" t="s">
        <v>113</v>
      </c>
      <c r="B6" s="96" t="s">
        <v>112</v>
      </c>
      <c r="D6" s="97" t="s">
        <v>10</v>
      </c>
      <c r="E6" s="169"/>
      <c r="F6" s="94" t="s">
        <v>125</v>
      </c>
      <c r="G6" s="95" t="s">
        <v>125</v>
      </c>
    </row>
    <row r="7" spans="1:7" x14ac:dyDescent="0.2">
      <c r="A7" s="93" t="s">
        <v>114</v>
      </c>
      <c r="B7" s="99" t="s">
        <v>112</v>
      </c>
      <c r="D7" s="88" t="s">
        <v>108</v>
      </c>
      <c r="E7" s="169" t="s">
        <v>115</v>
      </c>
      <c r="F7" s="89" t="s">
        <v>126</v>
      </c>
      <c r="G7" s="89" t="s">
        <v>126</v>
      </c>
    </row>
    <row r="8" spans="1:7" x14ac:dyDescent="0.2">
      <c r="A8" s="93" t="s">
        <v>117</v>
      </c>
      <c r="B8" s="100" t="s">
        <v>118</v>
      </c>
      <c r="D8" s="93" t="s">
        <v>11</v>
      </c>
      <c r="E8" s="169"/>
      <c r="F8" s="95" t="s">
        <v>126</v>
      </c>
      <c r="G8" s="95" t="s">
        <v>126</v>
      </c>
    </row>
    <row r="9" spans="1:7" x14ac:dyDescent="0.2">
      <c r="A9" s="97" t="s">
        <v>119</v>
      </c>
      <c r="B9" s="101"/>
      <c r="D9" s="97" t="s">
        <v>10</v>
      </c>
      <c r="E9" s="169"/>
      <c r="F9" s="95" t="s">
        <v>126</v>
      </c>
      <c r="G9" s="95" t="s">
        <v>126</v>
      </c>
    </row>
    <row r="10" spans="1:7" x14ac:dyDescent="0.2">
      <c r="D10" s="88" t="s">
        <v>108</v>
      </c>
      <c r="E10" s="169" t="s">
        <v>120</v>
      </c>
      <c r="F10" s="102"/>
      <c r="G10" s="90" t="s">
        <v>127</v>
      </c>
    </row>
    <row r="11" spans="1:7" x14ac:dyDescent="0.2">
      <c r="D11" s="93" t="s">
        <v>11</v>
      </c>
      <c r="E11" s="169"/>
      <c r="F11" s="103"/>
      <c r="G11" s="95" t="s">
        <v>127</v>
      </c>
    </row>
    <row r="12" spans="1:7" x14ac:dyDescent="0.2">
      <c r="D12" s="97" t="s">
        <v>10</v>
      </c>
      <c r="E12" s="169"/>
      <c r="F12" s="103"/>
      <c r="G12" s="95" t="s">
        <v>127</v>
      </c>
    </row>
    <row r="13" spans="1:7" x14ac:dyDescent="0.2">
      <c r="D13" s="88" t="s">
        <v>108</v>
      </c>
      <c r="E13" s="169" t="s">
        <v>123</v>
      </c>
      <c r="F13" s="102"/>
      <c r="G13" s="95" t="s">
        <v>128</v>
      </c>
    </row>
    <row r="14" spans="1:7" x14ac:dyDescent="0.2">
      <c r="D14" s="93" t="s">
        <v>11</v>
      </c>
      <c r="E14" s="169"/>
      <c r="F14" s="103"/>
      <c r="G14" s="95" t="s">
        <v>128</v>
      </c>
    </row>
    <row r="15" spans="1:7" x14ac:dyDescent="0.2">
      <c r="D15" s="97" t="s">
        <v>10</v>
      </c>
      <c r="E15" s="169"/>
      <c r="F15" s="104"/>
      <c r="G15" s="105" t="s">
        <v>128</v>
      </c>
    </row>
  </sheetData>
  <mergeCells count="4">
    <mergeCell ref="E4:E6"/>
    <mergeCell ref="E7:E9"/>
    <mergeCell ref="E10:E12"/>
    <mergeCell ref="E13:E15"/>
  </mergeCells>
  <pageMargins left="0.78749999999999998" right="0.78749999999999998" top="1.05277777777778" bottom="1.05277777777778" header="0.78749999999999998" footer="0.78749999999999998"/>
  <pageSetup paperSize="9" orientation="portrait" horizontalDpi="300" verticalDpi="300"/>
  <headerFooter>
    <oddHeader>&amp;C&amp;"Times New Roman,Regular"&amp;12&amp;Kffffff&amp;A</oddHeader>
    <oddFooter>&amp;C&amp;"Times New Roman,Regular"&amp;12&amp;KffffffPagina &amp;P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3:G15"/>
  <sheetViews>
    <sheetView zoomScale="121" zoomScaleNormal="121" workbookViewId="0">
      <selection activeCell="A5" sqref="A5"/>
    </sheetView>
  </sheetViews>
  <sheetFormatPr baseColWidth="10" defaultColWidth="10.1640625" defaultRowHeight="15" x14ac:dyDescent="0.2"/>
  <cols>
    <col min="1" max="1" width="21" customWidth="1"/>
    <col min="2" max="2" width="15.1640625" customWidth="1"/>
    <col min="4" max="4" width="10.33203125" customWidth="1"/>
    <col min="6" max="6" width="33.5" customWidth="1"/>
    <col min="7" max="7" width="32" customWidth="1"/>
  </cols>
  <sheetData>
    <row r="3" spans="1:7" x14ac:dyDescent="0.2">
      <c r="F3" s="87" t="s">
        <v>98</v>
      </c>
      <c r="G3" s="87" t="s">
        <v>97</v>
      </c>
    </row>
    <row r="4" spans="1:7" x14ac:dyDescent="0.2">
      <c r="D4" s="88" t="s">
        <v>108</v>
      </c>
      <c r="E4" s="169" t="s">
        <v>95</v>
      </c>
      <c r="F4" s="106" t="s">
        <v>129</v>
      </c>
      <c r="G4" s="90" t="s">
        <v>129</v>
      </c>
    </row>
    <row r="5" spans="1:7" x14ac:dyDescent="0.2">
      <c r="A5" s="91" t="s">
        <v>111</v>
      </c>
      <c r="B5" s="92" t="s">
        <v>112</v>
      </c>
      <c r="D5" s="93" t="s">
        <v>11</v>
      </c>
      <c r="E5" s="169"/>
      <c r="F5" s="94" t="s">
        <v>129</v>
      </c>
      <c r="G5" s="95" t="s">
        <v>129</v>
      </c>
    </row>
    <row r="6" spans="1:7" x14ac:dyDescent="0.2">
      <c r="A6" s="93" t="s">
        <v>113</v>
      </c>
      <c r="B6" s="96" t="s">
        <v>112</v>
      </c>
      <c r="D6" s="97" t="s">
        <v>10</v>
      </c>
      <c r="E6" s="169"/>
      <c r="F6" s="94" t="s">
        <v>129</v>
      </c>
      <c r="G6" s="95" t="s">
        <v>129</v>
      </c>
    </row>
    <row r="7" spans="1:7" x14ac:dyDescent="0.2">
      <c r="A7" s="93" t="s">
        <v>114</v>
      </c>
      <c r="B7" s="99" t="s">
        <v>112</v>
      </c>
      <c r="D7" s="88" t="s">
        <v>108</v>
      </c>
      <c r="E7" s="169" t="s">
        <v>115</v>
      </c>
      <c r="F7" s="89" t="s">
        <v>130</v>
      </c>
      <c r="G7" s="90" t="s">
        <v>130</v>
      </c>
    </row>
    <row r="8" spans="1:7" x14ac:dyDescent="0.2">
      <c r="A8" s="93" t="s">
        <v>117</v>
      </c>
      <c r="B8" s="100" t="s">
        <v>118</v>
      </c>
      <c r="D8" s="93" t="s">
        <v>11</v>
      </c>
      <c r="E8" s="169"/>
      <c r="F8" s="95" t="s">
        <v>130</v>
      </c>
      <c r="G8" s="95" t="s">
        <v>130</v>
      </c>
    </row>
    <row r="9" spans="1:7" x14ac:dyDescent="0.2">
      <c r="A9" s="97" t="s">
        <v>119</v>
      </c>
      <c r="B9" s="101"/>
      <c r="D9" s="97" t="s">
        <v>10</v>
      </c>
      <c r="E9" s="169"/>
      <c r="F9" s="95" t="s">
        <v>130</v>
      </c>
      <c r="G9" s="95" t="s">
        <v>130</v>
      </c>
    </row>
    <row r="10" spans="1:7" x14ac:dyDescent="0.2">
      <c r="D10" s="88" t="s">
        <v>108</v>
      </c>
      <c r="E10" s="169" t="s">
        <v>120</v>
      </c>
      <c r="F10" s="102"/>
      <c r="G10" s="90" t="s">
        <v>131</v>
      </c>
    </row>
    <row r="11" spans="1:7" x14ac:dyDescent="0.2">
      <c r="D11" s="93" t="s">
        <v>11</v>
      </c>
      <c r="E11" s="169"/>
      <c r="F11" s="103"/>
      <c r="G11" s="95" t="s">
        <v>131</v>
      </c>
    </row>
    <row r="12" spans="1:7" x14ac:dyDescent="0.2">
      <c r="D12" s="97" t="s">
        <v>10</v>
      </c>
      <c r="E12" s="169"/>
      <c r="F12" s="103"/>
      <c r="G12" s="95" t="s">
        <v>131</v>
      </c>
    </row>
    <row r="13" spans="1:7" x14ac:dyDescent="0.2">
      <c r="D13" s="88" t="s">
        <v>108</v>
      </c>
      <c r="E13" s="169" t="s">
        <v>123</v>
      </c>
      <c r="F13" s="102"/>
      <c r="G13" s="95" t="s">
        <v>132</v>
      </c>
    </row>
    <row r="14" spans="1:7" x14ac:dyDescent="0.2">
      <c r="D14" s="93" t="s">
        <v>11</v>
      </c>
      <c r="E14" s="169"/>
      <c r="F14" s="103"/>
      <c r="G14" s="95" t="s">
        <v>132</v>
      </c>
    </row>
    <row r="15" spans="1:7" x14ac:dyDescent="0.2">
      <c r="D15" s="97" t="s">
        <v>10</v>
      </c>
      <c r="E15" s="169"/>
      <c r="F15" s="104"/>
      <c r="G15" s="105" t="s">
        <v>132</v>
      </c>
    </row>
  </sheetData>
  <mergeCells count="4">
    <mergeCell ref="E4:E6"/>
    <mergeCell ref="E7:E9"/>
    <mergeCell ref="E10:E12"/>
    <mergeCell ref="E13:E15"/>
  </mergeCells>
  <pageMargins left="0.78749999999999998" right="0.78749999999999998" top="1.05277777777778" bottom="1.05277777777778" header="0.78749999999999998" footer="0.78749999999999998"/>
  <pageSetup paperSize="9" orientation="portrait" horizontalDpi="300" verticalDpi="300"/>
  <headerFooter>
    <oddHeader>&amp;C&amp;"Times New Roman,Regular"&amp;12&amp;Kffffff&amp;A</oddHeader>
    <oddFooter>&amp;C&amp;"Times New Roman,Regular"&amp;12&amp;KffffffPagina &amp;P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3:K23"/>
  <sheetViews>
    <sheetView tabSelected="1" topLeftCell="B3" zoomScale="121" zoomScaleNormal="121" workbookViewId="0">
      <selection activeCell="E8" sqref="E8"/>
    </sheetView>
  </sheetViews>
  <sheetFormatPr baseColWidth="10" defaultColWidth="10.1640625" defaultRowHeight="15" x14ac:dyDescent="0.2"/>
  <cols>
    <col min="1" max="1" width="21" customWidth="1"/>
    <col min="2" max="2" width="15.1640625" customWidth="1"/>
    <col min="4" max="4" width="19.1640625" customWidth="1"/>
    <col min="5" max="5" width="28.1640625" customWidth="1"/>
    <col min="6" max="6" width="33.5" customWidth="1"/>
    <col min="7" max="7" width="32.6640625" customWidth="1"/>
    <col min="8" max="8" width="34" customWidth="1"/>
    <col min="9" max="9" width="22.1640625" customWidth="1"/>
    <col min="10" max="10" width="23.1640625" customWidth="1"/>
    <col min="11" max="11" width="18.6640625" customWidth="1"/>
  </cols>
  <sheetData>
    <row r="3" spans="1:11" x14ac:dyDescent="0.2">
      <c r="F3" s="87" t="s">
        <v>108</v>
      </c>
      <c r="G3" s="87" t="s">
        <v>11</v>
      </c>
      <c r="H3" s="87" t="s">
        <v>10</v>
      </c>
      <c r="I3" s="10"/>
      <c r="J3" s="10"/>
      <c r="K3" s="10"/>
    </row>
    <row r="4" spans="1:11" x14ac:dyDescent="0.2">
      <c r="D4" s="161" t="s">
        <v>133</v>
      </c>
      <c r="E4" s="107" t="s">
        <v>134</v>
      </c>
      <c r="F4" s="82" t="s">
        <v>135</v>
      </c>
      <c r="G4" s="108" t="s">
        <v>135</v>
      </c>
      <c r="H4" s="109" t="s">
        <v>135</v>
      </c>
    </row>
    <row r="5" spans="1:11" x14ac:dyDescent="0.2">
      <c r="A5" s="91" t="s">
        <v>111</v>
      </c>
      <c r="B5" s="92" t="s">
        <v>112</v>
      </c>
      <c r="D5" s="161"/>
      <c r="E5" t="s">
        <v>136</v>
      </c>
      <c r="F5" s="110" t="s">
        <v>118</v>
      </c>
      <c r="G5" s="10" t="s">
        <v>118</v>
      </c>
      <c r="H5" s="100" t="s">
        <v>118</v>
      </c>
    </row>
    <row r="6" spans="1:11" x14ac:dyDescent="0.2">
      <c r="A6" s="93" t="s">
        <v>113</v>
      </c>
      <c r="B6" s="96" t="s">
        <v>112</v>
      </c>
      <c r="D6" s="161"/>
      <c r="E6" t="s">
        <v>137</v>
      </c>
      <c r="F6" s="110" t="s">
        <v>118</v>
      </c>
      <c r="G6" s="10" t="s">
        <v>118</v>
      </c>
      <c r="H6" s="100" t="s">
        <v>118</v>
      </c>
    </row>
    <row r="7" spans="1:11" x14ac:dyDescent="0.2">
      <c r="A7" s="93" t="s">
        <v>114</v>
      </c>
      <c r="B7" s="99" t="s">
        <v>112</v>
      </c>
      <c r="D7" s="161"/>
      <c r="E7" t="s">
        <v>138</v>
      </c>
      <c r="F7" s="111" t="s">
        <v>139</v>
      </c>
      <c r="G7" s="112" t="s">
        <v>139</v>
      </c>
      <c r="H7" s="113" t="s">
        <v>139</v>
      </c>
    </row>
    <row r="8" spans="1:11" x14ac:dyDescent="0.2">
      <c r="A8" s="93" t="s">
        <v>117</v>
      </c>
      <c r="B8" s="100" t="s">
        <v>118</v>
      </c>
      <c r="D8" s="161"/>
      <c r="E8" t="s">
        <v>238</v>
      </c>
      <c r="F8" s="114" t="s">
        <v>141</v>
      </c>
      <c r="G8" s="25" t="s">
        <v>141</v>
      </c>
      <c r="H8" s="115" t="s">
        <v>141</v>
      </c>
    </row>
    <row r="9" spans="1:11" x14ac:dyDescent="0.2">
      <c r="A9" s="97" t="s">
        <v>119</v>
      </c>
      <c r="B9" s="101"/>
      <c r="D9" s="161"/>
      <c r="E9" t="s">
        <v>142</v>
      </c>
      <c r="F9" s="114" t="s">
        <v>141</v>
      </c>
      <c r="G9" s="25" t="s">
        <v>141</v>
      </c>
      <c r="H9" s="115" t="s">
        <v>141</v>
      </c>
    </row>
    <row r="10" spans="1:11" x14ac:dyDescent="0.2">
      <c r="D10" s="161"/>
      <c r="E10" t="s">
        <v>143</v>
      </c>
      <c r="F10" s="114" t="s">
        <v>141</v>
      </c>
      <c r="G10" s="25" t="s">
        <v>141</v>
      </c>
      <c r="H10" s="115" t="s">
        <v>141</v>
      </c>
    </row>
    <row r="11" spans="1:11" x14ac:dyDescent="0.2">
      <c r="D11" s="161"/>
      <c r="E11" t="s">
        <v>144</v>
      </c>
      <c r="F11" s="114" t="s">
        <v>145</v>
      </c>
      <c r="G11" s="25" t="s">
        <v>145</v>
      </c>
      <c r="H11" s="115" t="s">
        <v>145</v>
      </c>
    </row>
    <row r="12" spans="1:11" x14ac:dyDescent="0.2">
      <c r="D12" s="161"/>
      <c r="E12" t="s">
        <v>146</v>
      </c>
      <c r="F12" s="114" t="s">
        <v>147</v>
      </c>
      <c r="G12" s="25" t="s">
        <v>147</v>
      </c>
      <c r="H12" s="115" t="s">
        <v>147</v>
      </c>
    </row>
    <row r="13" spans="1:11" x14ac:dyDescent="0.2">
      <c r="D13" s="161"/>
      <c r="E13" t="s">
        <v>148</v>
      </c>
      <c r="F13" s="111" t="s">
        <v>147</v>
      </c>
      <c r="G13" s="112" t="s">
        <v>147</v>
      </c>
      <c r="H13" s="113" t="s">
        <v>147</v>
      </c>
    </row>
    <row r="14" spans="1:11" x14ac:dyDescent="0.2">
      <c r="D14" s="161"/>
      <c r="E14" t="s">
        <v>149</v>
      </c>
      <c r="F14" s="111" t="s">
        <v>147</v>
      </c>
      <c r="G14" s="112" t="s">
        <v>147</v>
      </c>
      <c r="H14" s="113" t="s">
        <v>147</v>
      </c>
    </row>
    <row r="15" spans="1:11" x14ac:dyDescent="0.2">
      <c r="D15" s="161"/>
      <c r="E15" t="s">
        <v>150</v>
      </c>
      <c r="F15" s="111" t="s">
        <v>141</v>
      </c>
      <c r="G15" s="112" t="s">
        <v>141</v>
      </c>
      <c r="H15" s="113" t="s">
        <v>141</v>
      </c>
    </row>
    <row r="16" spans="1:11" ht="16" thickBot="1" x14ac:dyDescent="0.25">
      <c r="D16" s="161"/>
      <c r="E16" s="65" t="s">
        <v>151</v>
      </c>
      <c r="F16" s="116" t="s">
        <v>139</v>
      </c>
      <c r="G16" s="117" t="s">
        <v>139</v>
      </c>
      <c r="H16" s="118" t="s">
        <v>139</v>
      </c>
    </row>
    <row r="17" spans="4:8" x14ac:dyDescent="0.2">
      <c r="D17" s="162" t="s">
        <v>152</v>
      </c>
      <c r="E17" s="4" t="s">
        <v>153</v>
      </c>
      <c r="F17" s="82" t="s">
        <v>154</v>
      </c>
      <c r="G17" s="108" t="s">
        <v>154</v>
      </c>
      <c r="H17" s="109" t="s">
        <v>154</v>
      </c>
    </row>
    <row r="18" spans="4:8" x14ac:dyDescent="0.2">
      <c r="D18" s="163"/>
      <c r="E18" s="6" t="s">
        <v>155</v>
      </c>
      <c r="F18" s="114" t="s">
        <v>154</v>
      </c>
      <c r="G18" s="25" t="s">
        <v>154</v>
      </c>
      <c r="H18" s="113" t="s">
        <v>154</v>
      </c>
    </row>
    <row r="19" spans="4:8" x14ac:dyDescent="0.2">
      <c r="D19" s="163"/>
      <c r="E19" s="6" t="s">
        <v>156</v>
      </c>
      <c r="F19" s="111" t="s">
        <v>157</v>
      </c>
      <c r="G19" s="112" t="s">
        <v>157</v>
      </c>
      <c r="H19" s="113" t="s">
        <v>157</v>
      </c>
    </row>
    <row r="20" spans="4:8" x14ac:dyDescent="0.2">
      <c r="D20" s="163"/>
      <c r="E20" s="6" t="s">
        <v>158</v>
      </c>
      <c r="F20" s="114" t="s">
        <v>159</v>
      </c>
      <c r="G20" s="25" t="s">
        <v>159</v>
      </c>
      <c r="H20" s="115" t="s">
        <v>159</v>
      </c>
    </row>
    <row r="21" spans="4:8" x14ac:dyDescent="0.2">
      <c r="D21" s="163"/>
      <c r="E21" s="6" t="s">
        <v>160</v>
      </c>
      <c r="F21" s="114" t="s">
        <v>159</v>
      </c>
      <c r="G21" s="25" t="s">
        <v>159</v>
      </c>
      <c r="H21" s="113" t="s">
        <v>159</v>
      </c>
    </row>
    <row r="22" spans="4:8" x14ac:dyDescent="0.2">
      <c r="D22" s="163"/>
      <c r="E22" s="6" t="s">
        <v>161</v>
      </c>
      <c r="F22" s="25" t="s">
        <v>159</v>
      </c>
      <c r="G22" s="25" t="s">
        <v>159</v>
      </c>
      <c r="H22" s="113" t="s">
        <v>159</v>
      </c>
    </row>
    <row r="23" spans="4:8" ht="16" thickBot="1" x14ac:dyDescent="0.25">
      <c r="D23" s="164"/>
      <c r="E23" s="8" t="s">
        <v>237</v>
      </c>
      <c r="F23" s="119" t="s">
        <v>159</v>
      </c>
      <c r="G23" s="113" t="s">
        <v>159</v>
      </c>
      <c r="H23" s="86" t="s">
        <v>159</v>
      </c>
    </row>
  </sheetData>
  <mergeCells count="2">
    <mergeCell ref="D4:D16"/>
    <mergeCell ref="D17:D23"/>
  </mergeCells>
  <pageMargins left="0.78749999999999998" right="0.78749999999999998" top="1.05277777777778" bottom="1.05277777777778" header="0.78749999999999998" footer="0.78749999999999998"/>
  <pageSetup paperSize="9" orientation="portrait" horizontalDpi="300" verticalDpi="300"/>
  <headerFooter>
    <oddHeader>&amp;C&amp;"Times New Roman,Regular"&amp;12&amp;Kffffff&amp;A</oddHeader>
    <oddFooter>&amp;C&amp;"Times New Roman,Regular"&amp;12&amp;KffffffPagina &amp;P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3:I28"/>
  <sheetViews>
    <sheetView zoomScale="121" zoomScaleNormal="121" workbookViewId="0">
      <selection activeCell="A5" sqref="A5"/>
    </sheetView>
  </sheetViews>
  <sheetFormatPr baseColWidth="10" defaultColWidth="10.1640625" defaultRowHeight="15" x14ac:dyDescent="0.2"/>
  <cols>
    <col min="1" max="1" width="21" customWidth="1"/>
    <col min="2" max="2" width="14.83203125" customWidth="1"/>
    <col min="5" max="5" width="23.1640625" customWidth="1"/>
    <col min="6" max="6" width="24" customWidth="1"/>
    <col min="7" max="8" width="24.6640625" customWidth="1"/>
    <col min="9" max="9" width="23" customWidth="1"/>
  </cols>
  <sheetData>
    <row r="3" spans="1:9" x14ac:dyDescent="0.2">
      <c r="F3" s="167" t="s">
        <v>162</v>
      </c>
      <c r="G3" s="167"/>
      <c r="H3" s="167"/>
      <c r="I3" s="167"/>
    </row>
    <row r="4" spans="1:9" x14ac:dyDescent="0.2">
      <c r="F4" s="2" t="s">
        <v>100</v>
      </c>
      <c r="G4" s="2" t="s">
        <v>99</v>
      </c>
      <c r="H4" s="2" t="s">
        <v>98</v>
      </c>
      <c r="I4" s="5" t="s">
        <v>97</v>
      </c>
    </row>
    <row r="5" spans="1:9" x14ac:dyDescent="0.2">
      <c r="A5" s="91" t="s">
        <v>111</v>
      </c>
      <c r="B5" s="92" t="s">
        <v>112</v>
      </c>
      <c r="D5" s="162" t="s">
        <v>108</v>
      </c>
      <c r="E5" s="107" t="s">
        <v>163</v>
      </c>
      <c r="F5" s="121" t="s">
        <v>164</v>
      </c>
      <c r="G5" s="122"/>
      <c r="H5" s="122"/>
      <c r="I5" s="123"/>
    </row>
    <row r="6" spans="1:9" x14ac:dyDescent="0.2">
      <c r="A6" s="93" t="s">
        <v>113</v>
      </c>
      <c r="B6" s="96" t="s">
        <v>112</v>
      </c>
      <c r="D6" s="162"/>
      <c r="E6" t="s">
        <v>165</v>
      </c>
      <c r="F6" s="124" t="s">
        <v>164</v>
      </c>
      <c r="G6" s="125"/>
      <c r="H6" s="125"/>
      <c r="I6" s="126"/>
    </row>
    <row r="7" spans="1:9" x14ac:dyDescent="0.2">
      <c r="A7" s="93" t="s">
        <v>114</v>
      </c>
      <c r="B7" s="99" t="s">
        <v>112</v>
      </c>
      <c r="D7" s="163" t="s">
        <v>10</v>
      </c>
      <c r="E7" t="s">
        <v>163</v>
      </c>
      <c r="F7" s="124" t="s">
        <v>164</v>
      </c>
      <c r="G7" s="125"/>
      <c r="H7" s="125"/>
      <c r="I7" s="126"/>
    </row>
    <row r="8" spans="1:9" x14ac:dyDescent="0.2">
      <c r="A8" s="93" t="s">
        <v>117</v>
      </c>
      <c r="B8" s="100" t="s">
        <v>118</v>
      </c>
      <c r="D8" s="163"/>
      <c r="E8" t="s">
        <v>165</v>
      </c>
      <c r="F8" s="124" t="s">
        <v>164</v>
      </c>
      <c r="G8" s="125"/>
      <c r="H8" s="125"/>
      <c r="I8" s="126"/>
    </row>
    <row r="9" spans="1:9" x14ac:dyDescent="0.2">
      <c r="A9" s="97" t="s">
        <v>119</v>
      </c>
      <c r="B9" s="101"/>
      <c r="D9" s="164" t="s">
        <v>11</v>
      </c>
      <c r="E9" t="s">
        <v>163</v>
      </c>
      <c r="F9" s="124" t="s">
        <v>164</v>
      </c>
      <c r="G9" s="125"/>
      <c r="H9" s="125"/>
      <c r="I9" s="126"/>
    </row>
    <row r="10" spans="1:9" x14ac:dyDescent="0.2">
      <c r="D10" s="164"/>
      <c r="E10" s="65" t="s">
        <v>165</v>
      </c>
      <c r="F10" s="127" t="s">
        <v>164</v>
      </c>
      <c r="G10" s="128"/>
      <c r="H10" s="128"/>
      <c r="I10" s="129"/>
    </row>
    <row r="11" spans="1:9" x14ac:dyDescent="0.2">
      <c r="D11" s="162" t="s">
        <v>108</v>
      </c>
      <c r="E11" s="107" t="s">
        <v>166</v>
      </c>
      <c r="F11" s="130" t="s">
        <v>167</v>
      </c>
      <c r="G11" s="121" t="s">
        <v>167</v>
      </c>
      <c r="H11" s="122"/>
      <c r="I11" s="123"/>
    </row>
    <row r="12" spans="1:9" x14ac:dyDescent="0.2">
      <c r="D12" s="162"/>
      <c r="E12" t="s">
        <v>168</v>
      </c>
      <c r="F12" s="125"/>
      <c r="G12" s="124" t="s">
        <v>167</v>
      </c>
      <c r="H12" s="125"/>
      <c r="I12" s="126"/>
    </row>
    <row r="13" spans="1:9" x14ac:dyDescent="0.2">
      <c r="D13" s="163" t="s">
        <v>10</v>
      </c>
      <c r="E13" t="s">
        <v>166</v>
      </c>
      <c r="F13" s="131" t="s">
        <v>167</v>
      </c>
      <c r="G13" s="124" t="s">
        <v>167</v>
      </c>
      <c r="H13" s="125"/>
      <c r="I13" s="126"/>
    </row>
    <row r="14" spans="1:9" x14ac:dyDescent="0.2">
      <c r="D14" s="163"/>
      <c r="E14" t="s">
        <v>168</v>
      </c>
      <c r="F14" s="125"/>
      <c r="G14" s="124" t="s">
        <v>167</v>
      </c>
      <c r="H14" s="125"/>
      <c r="I14" s="126"/>
    </row>
    <row r="15" spans="1:9" x14ac:dyDescent="0.2">
      <c r="D15" s="164" t="s">
        <v>11</v>
      </c>
      <c r="E15" t="s">
        <v>166</v>
      </c>
      <c r="F15" s="132" t="s">
        <v>167</v>
      </c>
      <c r="G15" s="124" t="s">
        <v>167</v>
      </c>
      <c r="H15" s="125"/>
      <c r="I15" s="126"/>
    </row>
    <row r="16" spans="1:9" x14ac:dyDescent="0.2">
      <c r="D16" s="164"/>
      <c r="E16" s="65" t="s">
        <v>168</v>
      </c>
      <c r="F16" s="128"/>
      <c r="G16" s="127" t="s">
        <v>167</v>
      </c>
      <c r="H16" s="128"/>
      <c r="I16" s="129"/>
    </row>
    <row r="17" spans="4:9" x14ac:dyDescent="0.2">
      <c r="D17" s="162" t="s">
        <v>108</v>
      </c>
      <c r="E17" s="107" t="s">
        <v>169</v>
      </c>
      <c r="F17" s="122"/>
      <c r="G17" s="133" t="s">
        <v>170</v>
      </c>
      <c r="H17" s="124" t="s">
        <v>170</v>
      </c>
      <c r="I17" s="123"/>
    </row>
    <row r="18" spans="4:9" x14ac:dyDescent="0.2">
      <c r="D18" s="162"/>
      <c r="E18" t="s">
        <v>171</v>
      </c>
      <c r="F18" s="125"/>
      <c r="G18" s="125"/>
      <c r="H18" s="124" t="s">
        <v>170</v>
      </c>
      <c r="I18" s="126"/>
    </row>
    <row r="19" spans="4:9" x14ac:dyDescent="0.2">
      <c r="D19" s="163" t="s">
        <v>11</v>
      </c>
      <c r="E19" t="s">
        <v>169</v>
      </c>
      <c r="F19" s="125"/>
      <c r="G19" s="131" t="s">
        <v>170</v>
      </c>
      <c r="H19" s="124" t="s">
        <v>170</v>
      </c>
      <c r="I19" s="126"/>
    </row>
    <row r="20" spans="4:9" x14ac:dyDescent="0.2">
      <c r="D20" s="163"/>
      <c r="E20" t="s">
        <v>171</v>
      </c>
      <c r="F20" s="125"/>
      <c r="G20" s="125"/>
      <c r="H20" s="124" t="s">
        <v>170</v>
      </c>
      <c r="I20" s="126"/>
    </row>
    <row r="21" spans="4:9" x14ac:dyDescent="0.2">
      <c r="D21" s="164" t="s">
        <v>10</v>
      </c>
      <c r="E21" t="s">
        <v>169</v>
      </c>
      <c r="F21" s="125"/>
      <c r="G21" s="131" t="s">
        <v>170</v>
      </c>
      <c r="H21" s="124" t="s">
        <v>170</v>
      </c>
      <c r="I21" s="126"/>
    </row>
    <row r="22" spans="4:9" x14ac:dyDescent="0.2">
      <c r="D22" s="164"/>
      <c r="E22" s="65" t="s">
        <v>171</v>
      </c>
      <c r="F22" s="128"/>
      <c r="G22" s="128"/>
      <c r="H22" s="127" t="s">
        <v>170</v>
      </c>
      <c r="I22" s="129"/>
    </row>
    <row r="23" spans="4:9" x14ac:dyDescent="0.2">
      <c r="D23" s="162" t="s">
        <v>108</v>
      </c>
      <c r="E23" s="107" t="s">
        <v>172</v>
      </c>
      <c r="F23" s="122"/>
      <c r="G23" s="122"/>
      <c r="H23" s="133" t="s">
        <v>173</v>
      </c>
      <c r="I23" s="109" t="s">
        <v>173</v>
      </c>
    </row>
    <row r="24" spans="4:9" x14ac:dyDescent="0.2">
      <c r="D24" s="162"/>
      <c r="E24" t="s">
        <v>174</v>
      </c>
      <c r="F24" s="125"/>
      <c r="G24" s="125"/>
      <c r="H24" s="125"/>
      <c r="I24" s="115" t="s">
        <v>173</v>
      </c>
    </row>
    <row r="25" spans="4:9" x14ac:dyDescent="0.2">
      <c r="D25" s="163" t="s">
        <v>10</v>
      </c>
      <c r="E25" t="s">
        <v>172</v>
      </c>
      <c r="F25" s="125"/>
      <c r="G25" s="125"/>
      <c r="H25" s="131" t="s">
        <v>173</v>
      </c>
      <c r="I25" s="115" t="s">
        <v>173</v>
      </c>
    </row>
    <row r="26" spans="4:9" x14ac:dyDescent="0.2">
      <c r="D26" s="163"/>
      <c r="E26" t="s">
        <v>174</v>
      </c>
      <c r="F26" s="125"/>
      <c r="G26" s="125"/>
      <c r="H26" s="125"/>
      <c r="I26" s="115" t="s">
        <v>173</v>
      </c>
    </row>
    <row r="27" spans="4:9" x14ac:dyDescent="0.2">
      <c r="D27" s="164" t="s">
        <v>11</v>
      </c>
      <c r="E27" t="s">
        <v>172</v>
      </c>
      <c r="F27" s="125"/>
      <c r="G27" s="125"/>
      <c r="H27" s="131" t="s">
        <v>173</v>
      </c>
      <c r="I27" s="115" t="s">
        <v>173</v>
      </c>
    </row>
    <row r="28" spans="4:9" x14ac:dyDescent="0.2">
      <c r="D28" s="164"/>
      <c r="E28" s="65" t="s">
        <v>174</v>
      </c>
      <c r="F28" s="128"/>
      <c r="G28" s="128"/>
      <c r="H28" s="128"/>
      <c r="I28" s="86" t="s">
        <v>173</v>
      </c>
    </row>
  </sheetData>
  <mergeCells count="13">
    <mergeCell ref="F3:I3"/>
    <mergeCell ref="D5:D6"/>
    <mergeCell ref="D7:D8"/>
    <mergeCell ref="D9:D10"/>
    <mergeCell ref="D11:D12"/>
    <mergeCell ref="D23:D24"/>
    <mergeCell ref="D25:D26"/>
    <mergeCell ref="D27:D28"/>
    <mergeCell ref="D13:D14"/>
    <mergeCell ref="D15:D16"/>
    <mergeCell ref="D17:D18"/>
    <mergeCell ref="D19:D20"/>
    <mergeCell ref="D21:D22"/>
  </mergeCells>
  <pageMargins left="0.78749999999999998" right="0.78749999999999998" top="1.05277777777778" bottom="1.05277777777778" header="0.78749999999999998" footer="0.78749999999999998"/>
  <pageSetup paperSize="9" orientation="portrait" horizontalDpi="300" verticalDpi="300"/>
  <headerFooter>
    <oddHeader>&amp;C&amp;"Times New Roman,Regular"&amp;12&amp;Kffffff&amp;A</oddHeader>
    <oddFooter>&amp;C&amp;"Times New Roman,Regular"&amp;12&amp;KffffffPagina &amp;P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3:G15"/>
  <sheetViews>
    <sheetView zoomScale="121" zoomScaleNormal="121" workbookViewId="0">
      <selection activeCell="A9" sqref="A9"/>
    </sheetView>
  </sheetViews>
  <sheetFormatPr baseColWidth="10" defaultColWidth="10.1640625" defaultRowHeight="15" x14ac:dyDescent="0.2"/>
  <cols>
    <col min="1" max="1" width="19" customWidth="1"/>
    <col min="2" max="2" width="15.1640625" customWidth="1"/>
    <col min="4" max="4" width="10.33203125" customWidth="1"/>
    <col min="6" max="6" width="33.5" customWidth="1"/>
    <col min="7" max="7" width="32" customWidth="1"/>
  </cols>
  <sheetData>
    <row r="3" spans="1:7" x14ac:dyDescent="0.2">
      <c r="F3" s="87" t="s">
        <v>97</v>
      </c>
      <c r="G3" s="87" t="s">
        <v>175</v>
      </c>
    </row>
    <row r="4" spans="1:7" x14ac:dyDescent="0.2">
      <c r="D4" s="88" t="s">
        <v>108</v>
      </c>
      <c r="E4" s="169" t="s">
        <v>95</v>
      </c>
      <c r="F4" s="134"/>
      <c r="G4" s="134"/>
    </row>
    <row r="5" spans="1:7" x14ac:dyDescent="0.2">
      <c r="A5" s="4" t="s">
        <v>111</v>
      </c>
      <c r="B5" s="109" t="s">
        <v>112</v>
      </c>
      <c r="D5" s="93" t="s">
        <v>11</v>
      </c>
      <c r="E5" s="169"/>
      <c r="F5" s="135"/>
      <c r="G5" s="135"/>
    </row>
    <row r="6" spans="1:7" x14ac:dyDescent="0.2">
      <c r="A6" s="6" t="s">
        <v>114</v>
      </c>
      <c r="B6" s="113" t="s">
        <v>112</v>
      </c>
      <c r="D6" s="97" t="s">
        <v>10</v>
      </c>
      <c r="E6" s="169"/>
      <c r="F6" s="135"/>
      <c r="G6" s="135"/>
    </row>
    <row r="7" spans="1:7" x14ac:dyDescent="0.2">
      <c r="A7" s="6" t="s">
        <v>105</v>
      </c>
      <c r="B7" s="84" t="s">
        <v>112</v>
      </c>
      <c r="D7" s="88" t="s">
        <v>108</v>
      </c>
      <c r="E7" s="169" t="s">
        <v>115</v>
      </c>
      <c r="F7" s="134"/>
      <c r="G7" s="134"/>
    </row>
    <row r="8" spans="1:7" x14ac:dyDescent="0.2">
      <c r="A8" s="6" t="s">
        <v>117</v>
      </c>
      <c r="B8" s="100" t="s">
        <v>118</v>
      </c>
      <c r="D8" s="93" t="s">
        <v>11</v>
      </c>
      <c r="E8" s="169"/>
      <c r="F8" s="135"/>
      <c r="G8" s="135"/>
    </row>
    <row r="9" spans="1:7" x14ac:dyDescent="0.2">
      <c r="A9" s="136" t="s">
        <v>40</v>
      </c>
      <c r="B9" s="137"/>
      <c r="D9" s="97" t="s">
        <v>10</v>
      </c>
      <c r="E9" s="169"/>
      <c r="F9" s="135"/>
      <c r="G9" s="135"/>
    </row>
    <row r="10" spans="1:7" x14ac:dyDescent="0.2">
      <c r="D10" s="88" t="s">
        <v>108</v>
      </c>
      <c r="E10" s="169" t="s">
        <v>120</v>
      </c>
      <c r="F10" s="134"/>
      <c r="G10" s="134"/>
    </row>
    <row r="11" spans="1:7" x14ac:dyDescent="0.2">
      <c r="D11" s="93" t="s">
        <v>11</v>
      </c>
      <c r="E11" s="169"/>
      <c r="F11" s="135"/>
      <c r="G11" s="135"/>
    </row>
    <row r="12" spans="1:7" x14ac:dyDescent="0.2">
      <c r="D12" s="97" t="s">
        <v>10</v>
      </c>
      <c r="E12" s="169"/>
      <c r="F12" s="135"/>
      <c r="G12" s="138"/>
    </row>
    <row r="13" spans="1:7" x14ac:dyDescent="0.2">
      <c r="D13" s="88" t="s">
        <v>108</v>
      </c>
      <c r="E13" s="169" t="s">
        <v>123</v>
      </c>
      <c r="F13" s="134"/>
      <c r="G13" s="135"/>
    </row>
    <row r="14" spans="1:7" x14ac:dyDescent="0.2">
      <c r="D14" s="93" t="s">
        <v>11</v>
      </c>
      <c r="E14" s="169"/>
      <c r="F14" s="135"/>
      <c r="G14" s="135"/>
    </row>
    <row r="15" spans="1:7" x14ac:dyDescent="0.2">
      <c r="D15" s="97" t="s">
        <v>10</v>
      </c>
      <c r="E15" s="169"/>
      <c r="F15" s="138"/>
      <c r="G15" s="138"/>
    </row>
  </sheetData>
  <mergeCells count="4">
    <mergeCell ref="E4:E6"/>
    <mergeCell ref="E7:E9"/>
    <mergeCell ref="E10:E12"/>
    <mergeCell ref="E13:E15"/>
  </mergeCells>
  <pageMargins left="0.78749999999999998" right="0.78749999999999998" top="1.05277777777778" bottom="1.05277777777778" header="0.78749999999999998" footer="0.78749999999999998"/>
  <pageSetup paperSize="9" orientation="portrait" horizontalDpi="300" verticalDpi="300"/>
  <headerFooter>
    <oddHeader>&amp;C&amp;"Times New Roman,Regular"&amp;12&amp;Kffffff&amp;A</oddHeader>
    <oddFooter>&amp;C&amp;"Times New Roman,Regular"&amp;12&amp;KffffffPagina &amp;P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5:G20"/>
  <sheetViews>
    <sheetView zoomScaleNormal="100" workbookViewId="0">
      <selection activeCell="A38" sqref="A38"/>
    </sheetView>
  </sheetViews>
  <sheetFormatPr baseColWidth="10" defaultColWidth="10.1640625" defaultRowHeight="15" x14ac:dyDescent="0.2"/>
  <cols>
    <col min="1" max="1" width="20.6640625" customWidth="1"/>
    <col min="2" max="2" width="13.1640625" customWidth="1"/>
    <col min="5" max="5" width="21.6640625" customWidth="1"/>
    <col min="6" max="6" width="13.83203125" customWidth="1"/>
    <col min="7" max="7" width="15.5" customWidth="1"/>
  </cols>
  <sheetData>
    <row r="5" spans="1:7" x14ac:dyDescent="0.2">
      <c r="A5" s="88" t="s">
        <v>111</v>
      </c>
      <c r="B5" s="139" t="s">
        <v>176</v>
      </c>
      <c r="E5" t="s">
        <v>177</v>
      </c>
      <c r="F5" s="140" t="s">
        <v>178</v>
      </c>
      <c r="G5" s="140" t="s">
        <v>179</v>
      </c>
    </row>
    <row r="6" spans="1:7" x14ac:dyDescent="0.2">
      <c r="A6" s="93" t="s">
        <v>113</v>
      </c>
      <c r="B6" s="141" t="s">
        <v>180</v>
      </c>
      <c r="D6" s="170" t="s">
        <v>181</v>
      </c>
      <c r="E6" s="142" t="s">
        <v>182</v>
      </c>
      <c r="F6" s="143" t="s">
        <v>183</v>
      </c>
      <c r="G6" s="143" t="s">
        <v>183</v>
      </c>
    </row>
    <row r="7" spans="1:7" x14ac:dyDescent="0.2">
      <c r="A7" s="93" t="s">
        <v>114</v>
      </c>
      <c r="B7" s="144" t="s">
        <v>184</v>
      </c>
      <c r="D7" s="170"/>
      <c r="E7" t="s">
        <v>185</v>
      </c>
      <c r="F7" s="145" t="s">
        <v>176</v>
      </c>
      <c r="G7" s="146" t="s">
        <v>118</v>
      </c>
    </row>
    <row r="8" spans="1:7" x14ac:dyDescent="0.2">
      <c r="A8" s="93" t="s">
        <v>117</v>
      </c>
      <c r="B8" s="147" t="s">
        <v>118</v>
      </c>
      <c r="D8" s="170"/>
      <c r="E8" t="s">
        <v>186</v>
      </c>
      <c r="F8" s="145" t="s">
        <v>176</v>
      </c>
      <c r="G8" s="146" t="s">
        <v>118</v>
      </c>
    </row>
    <row r="9" spans="1:7" x14ac:dyDescent="0.2">
      <c r="A9" s="93" t="s">
        <v>119</v>
      </c>
      <c r="B9" s="148"/>
      <c r="D9" s="170"/>
      <c r="E9" t="s">
        <v>187</v>
      </c>
      <c r="F9" s="145" t="s">
        <v>176</v>
      </c>
      <c r="G9" s="146" t="s">
        <v>118</v>
      </c>
    </row>
    <row r="10" spans="1:7" x14ac:dyDescent="0.2">
      <c r="A10" s="136" t="s">
        <v>40</v>
      </c>
      <c r="B10" s="149" t="s">
        <v>183</v>
      </c>
      <c r="D10" s="170"/>
      <c r="E10" s="150" t="s">
        <v>188</v>
      </c>
      <c r="F10" s="151" t="s">
        <v>176</v>
      </c>
      <c r="G10" s="152" t="s">
        <v>118</v>
      </c>
    </row>
    <row r="11" spans="1:7" ht="13.75" customHeight="1" x14ac:dyDescent="0.2">
      <c r="D11" s="171" t="s">
        <v>152</v>
      </c>
      <c r="E11" s="142" t="s">
        <v>158</v>
      </c>
      <c r="F11" s="153" t="s">
        <v>118</v>
      </c>
      <c r="G11" s="154" t="s">
        <v>176</v>
      </c>
    </row>
    <row r="12" spans="1:7" x14ac:dyDescent="0.2">
      <c r="D12" s="171"/>
      <c r="E12" t="s">
        <v>189</v>
      </c>
      <c r="F12" s="145" t="s">
        <v>176</v>
      </c>
      <c r="G12" s="146" t="s">
        <v>118</v>
      </c>
    </row>
    <row r="13" spans="1:7" x14ac:dyDescent="0.2">
      <c r="D13" s="171"/>
      <c r="E13" t="s">
        <v>190</v>
      </c>
      <c r="F13" s="146" t="s">
        <v>118</v>
      </c>
      <c r="G13" s="146" t="s">
        <v>118</v>
      </c>
    </row>
    <row r="14" spans="1:7" x14ac:dyDescent="0.2">
      <c r="D14" s="171"/>
      <c r="E14" s="150" t="s">
        <v>191</v>
      </c>
      <c r="F14" s="152" t="s">
        <v>118</v>
      </c>
      <c r="G14" s="151" t="s">
        <v>176</v>
      </c>
    </row>
    <row r="15" spans="1:7" ht="13.75" customHeight="1" x14ac:dyDescent="0.2">
      <c r="D15" s="171" t="s">
        <v>133</v>
      </c>
      <c r="E15" s="142" t="s">
        <v>192</v>
      </c>
      <c r="F15" s="153" t="s">
        <v>118</v>
      </c>
      <c r="G15" s="154" t="s">
        <v>176</v>
      </c>
    </row>
    <row r="16" spans="1:7" x14ac:dyDescent="0.2">
      <c r="D16" s="171"/>
      <c r="E16" t="s">
        <v>138</v>
      </c>
      <c r="F16" s="146" t="s">
        <v>118</v>
      </c>
      <c r="G16" s="145" t="s">
        <v>176</v>
      </c>
    </row>
    <row r="17" spans="4:7" x14ac:dyDescent="0.2">
      <c r="D17" s="171"/>
      <c r="E17" t="s">
        <v>140</v>
      </c>
      <c r="F17" s="145" t="s">
        <v>176</v>
      </c>
      <c r="G17" s="146" t="s">
        <v>118</v>
      </c>
    </row>
    <row r="18" spans="4:7" x14ac:dyDescent="0.2">
      <c r="D18" s="171"/>
      <c r="E18" t="s">
        <v>193</v>
      </c>
      <c r="F18" s="145" t="s">
        <v>176</v>
      </c>
      <c r="G18" s="145" t="s">
        <v>176</v>
      </c>
    </row>
    <row r="19" spans="4:7" x14ac:dyDescent="0.2">
      <c r="D19" s="171"/>
      <c r="E19" t="s">
        <v>146</v>
      </c>
      <c r="F19" s="146" t="s">
        <v>118</v>
      </c>
      <c r="G19" s="146" t="s">
        <v>118</v>
      </c>
    </row>
    <row r="20" spans="4:7" x14ac:dyDescent="0.2">
      <c r="D20" s="171"/>
      <c r="E20" s="150" t="s">
        <v>148</v>
      </c>
      <c r="F20" s="152" t="s">
        <v>118</v>
      </c>
      <c r="G20" s="152" t="s">
        <v>118</v>
      </c>
    </row>
  </sheetData>
  <mergeCells count="3">
    <mergeCell ref="D6:D10"/>
    <mergeCell ref="D11:D14"/>
    <mergeCell ref="D15:D20"/>
  </mergeCells>
  <pageMargins left="0.78749999999999998" right="0.78749999999999998" top="1.05277777777778" bottom="1.05277777777778" header="0.78749999999999998" footer="0.78749999999999998"/>
  <pageSetup orientation="portrait" horizontalDpi="300" verticalDpi="300"/>
  <headerFooter>
    <oddHeader>&amp;C&amp;"Times New Roman,Regular"&amp;12&amp;Kffffff&amp;A</oddHeader>
    <oddFooter>&amp;C&amp;"Times New Roman,Regular"&amp;12&amp;KffffffPage &amp;P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B2:E19"/>
  <sheetViews>
    <sheetView zoomScale="121" zoomScaleNormal="121" workbookViewId="0">
      <selection activeCell="E20" sqref="E20"/>
    </sheetView>
  </sheetViews>
  <sheetFormatPr baseColWidth="10" defaultColWidth="10.1640625" defaultRowHeight="15" x14ac:dyDescent="0.2"/>
  <cols>
    <col min="2" max="2" width="15.33203125" customWidth="1"/>
    <col min="3" max="3" width="9.83203125" customWidth="1"/>
    <col min="4" max="4" width="48.5" customWidth="1"/>
    <col min="5" max="5" width="44.83203125" customWidth="1"/>
  </cols>
  <sheetData>
    <row r="2" spans="2:5" x14ac:dyDescent="0.2">
      <c r="B2" t="s">
        <v>194</v>
      </c>
      <c r="C2" s="4" t="s">
        <v>195</v>
      </c>
      <c r="D2" s="107" t="s">
        <v>196</v>
      </c>
      <c r="E2" s="17" t="s">
        <v>197</v>
      </c>
    </row>
    <row r="3" spans="2:5" ht="16" x14ac:dyDescent="0.2">
      <c r="B3" s="155" t="s">
        <v>198</v>
      </c>
      <c r="C3" s="4" t="s">
        <v>13</v>
      </c>
      <c r="D3" s="108" t="s">
        <v>199</v>
      </c>
      <c r="E3" s="17" t="s">
        <v>200</v>
      </c>
    </row>
    <row r="4" spans="2:5" ht="32" x14ac:dyDescent="0.2">
      <c r="B4" s="156" t="s">
        <v>201</v>
      </c>
      <c r="C4" s="6" t="s">
        <v>13</v>
      </c>
      <c r="D4" s="25" t="s">
        <v>202</v>
      </c>
      <c r="E4" s="27"/>
    </row>
    <row r="5" spans="2:5" ht="32" x14ac:dyDescent="0.2">
      <c r="B5" s="156" t="s">
        <v>203</v>
      </c>
      <c r="C5" s="6" t="s">
        <v>13</v>
      </c>
      <c r="D5" s="25" t="s">
        <v>204</v>
      </c>
      <c r="E5" s="27" t="s">
        <v>205</v>
      </c>
    </row>
    <row r="6" spans="2:5" ht="32" x14ac:dyDescent="0.2">
      <c r="B6" s="156" t="s">
        <v>206</v>
      </c>
      <c r="C6" s="6" t="s">
        <v>13</v>
      </c>
      <c r="D6" s="25" t="s">
        <v>207</v>
      </c>
      <c r="E6" s="27"/>
    </row>
    <row r="7" spans="2:5" ht="16" x14ac:dyDescent="0.2">
      <c r="B7" s="156" t="s">
        <v>208</v>
      </c>
      <c r="C7" s="6" t="s">
        <v>13</v>
      </c>
      <c r="D7" s="25" t="s">
        <v>209</v>
      </c>
      <c r="E7" s="27"/>
    </row>
    <row r="8" spans="2:5" ht="16" x14ac:dyDescent="0.2">
      <c r="B8" s="156" t="s">
        <v>210</v>
      </c>
      <c r="C8" s="6" t="s">
        <v>13</v>
      </c>
      <c r="D8" s="25" t="s">
        <v>211</v>
      </c>
      <c r="E8" s="27" t="s">
        <v>212</v>
      </c>
    </row>
    <row r="9" spans="2:5" ht="32" x14ac:dyDescent="0.2">
      <c r="B9" s="156" t="s">
        <v>213</v>
      </c>
      <c r="C9" s="6" t="s">
        <v>13</v>
      </c>
      <c r="D9" s="25" t="s">
        <v>214</v>
      </c>
      <c r="E9" s="27"/>
    </row>
    <row r="10" spans="2:5" ht="32" x14ac:dyDescent="0.2">
      <c r="B10" s="156" t="s">
        <v>215</v>
      </c>
      <c r="C10" s="6" t="s">
        <v>13</v>
      </c>
      <c r="D10" s="25" t="s">
        <v>214</v>
      </c>
      <c r="E10" s="27"/>
    </row>
    <row r="11" spans="2:5" ht="16" x14ac:dyDescent="0.2">
      <c r="B11" s="156" t="s">
        <v>216</v>
      </c>
      <c r="C11" s="6" t="s">
        <v>13</v>
      </c>
      <c r="D11" s="81" t="s">
        <v>217</v>
      </c>
      <c r="E11" s="27"/>
    </row>
    <row r="12" spans="2:5" ht="32" x14ac:dyDescent="0.2">
      <c r="B12" s="156" t="s">
        <v>218</v>
      </c>
      <c r="C12" s="6" t="s">
        <v>13</v>
      </c>
      <c r="D12" s="25" t="s">
        <v>219</v>
      </c>
      <c r="E12" s="157" t="s">
        <v>220</v>
      </c>
    </row>
    <row r="13" spans="2:5" ht="32" x14ac:dyDescent="0.2">
      <c r="B13" s="156" t="s">
        <v>221</v>
      </c>
      <c r="C13" s="6" t="s">
        <v>13</v>
      </c>
      <c r="D13" s="25" t="s">
        <v>207</v>
      </c>
      <c r="E13" s="27"/>
    </row>
    <row r="14" spans="2:5" ht="32" x14ac:dyDescent="0.2">
      <c r="B14" s="158" t="s">
        <v>222</v>
      </c>
      <c r="C14" s="8" t="s">
        <v>13</v>
      </c>
      <c r="D14" s="120" t="s">
        <v>207</v>
      </c>
      <c r="E14" s="32"/>
    </row>
    <row r="16" spans="2:5" x14ac:dyDescent="0.2">
      <c r="D16" t="s">
        <v>223</v>
      </c>
      <c r="E16" t="s">
        <v>224</v>
      </c>
    </row>
    <row r="17" spans="4:5" x14ac:dyDescent="0.2">
      <c r="D17" t="s">
        <v>225</v>
      </c>
      <c r="E17">
        <v>2</v>
      </c>
    </row>
    <row r="18" spans="4:5" x14ac:dyDescent="0.2">
      <c r="D18" t="s">
        <v>157</v>
      </c>
      <c r="E18">
        <v>1</v>
      </c>
    </row>
    <row r="19" spans="4:5" x14ac:dyDescent="0.2">
      <c r="D19" t="s">
        <v>226</v>
      </c>
      <c r="E19">
        <v>1</v>
      </c>
    </row>
  </sheetData>
  <pageMargins left="0.78749999999999998" right="0.78749999999999998" top="1.05277777777778" bottom="1.05277777777778" header="0.78749999999999998" footer="0.78749999999999998"/>
  <pageSetup paperSize="9" orientation="portrait" horizontalDpi="300" verticalDpi="300"/>
  <headerFooter>
    <oddHeader>&amp;C&amp;"Times New Roman,Regular"&amp;12&amp;Kffffff&amp;A</oddHeader>
    <oddFooter>&amp;C&amp;"Times New Roman,Regular"&amp;12&amp;KffffffPage &amp;P</oddFoot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B3:D17"/>
  <sheetViews>
    <sheetView zoomScaleNormal="100" workbookViewId="0">
      <selection activeCell="F6" sqref="F6"/>
    </sheetView>
  </sheetViews>
  <sheetFormatPr baseColWidth="10" defaultColWidth="10.1640625" defaultRowHeight="15" x14ac:dyDescent="0.2"/>
  <cols>
    <col min="2" max="2" width="14.5" customWidth="1"/>
    <col min="3" max="3" width="30.33203125" customWidth="1"/>
    <col min="4" max="4" width="11" customWidth="1"/>
  </cols>
  <sheetData>
    <row r="3" spans="2:4" x14ac:dyDescent="0.2">
      <c r="B3" t="s">
        <v>177</v>
      </c>
      <c r="C3" t="s">
        <v>227</v>
      </c>
      <c r="D3" t="s">
        <v>228</v>
      </c>
    </row>
    <row r="4" spans="2:4" ht="48" x14ac:dyDescent="0.2">
      <c r="B4" s="159" t="s">
        <v>229</v>
      </c>
      <c r="C4" s="160" t="s">
        <v>230</v>
      </c>
      <c r="D4" s="159" t="s">
        <v>231</v>
      </c>
    </row>
    <row r="5" spans="2:4" ht="48" x14ac:dyDescent="0.2">
      <c r="B5" s="159" t="s">
        <v>232</v>
      </c>
      <c r="C5" s="160" t="s">
        <v>233</v>
      </c>
      <c r="D5" s="159" t="s">
        <v>234</v>
      </c>
    </row>
    <row r="6" spans="2:4" ht="48" x14ac:dyDescent="0.2">
      <c r="B6" s="159" t="s">
        <v>235</v>
      </c>
      <c r="C6" s="160" t="s">
        <v>236</v>
      </c>
      <c r="D6" s="159" t="s">
        <v>231</v>
      </c>
    </row>
    <row r="7" spans="2:4" x14ac:dyDescent="0.2">
      <c r="B7" s="159"/>
      <c r="C7" s="160"/>
      <c r="D7" s="159"/>
    </row>
    <row r="8" spans="2:4" x14ac:dyDescent="0.2">
      <c r="B8" s="159"/>
      <c r="C8" s="160"/>
      <c r="D8" s="159"/>
    </row>
    <row r="9" spans="2:4" x14ac:dyDescent="0.2">
      <c r="B9" s="159"/>
      <c r="C9" s="160"/>
      <c r="D9" s="159"/>
    </row>
    <row r="10" spans="2:4" x14ac:dyDescent="0.2">
      <c r="B10" s="159"/>
      <c r="C10" s="160"/>
      <c r="D10" s="159"/>
    </row>
    <row r="11" spans="2:4" x14ac:dyDescent="0.2">
      <c r="B11" s="159"/>
      <c r="C11" s="160"/>
      <c r="D11" s="159"/>
    </row>
    <row r="12" spans="2:4" x14ac:dyDescent="0.2">
      <c r="B12" s="159"/>
      <c r="C12" s="160"/>
      <c r="D12" s="159"/>
    </row>
    <row r="13" spans="2:4" x14ac:dyDescent="0.2">
      <c r="B13" s="159"/>
      <c r="C13" s="160"/>
      <c r="D13" s="159"/>
    </row>
    <row r="14" spans="2:4" x14ac:dyDescent="0.2">
      <c r="B14" s="159"/>
      <c r="C14" s="160"/>
      <c r="D14" s="159"/>
    </row>
    <row r="15" spans="2:4" x14ac:dyDescent="0.2">
      <c r="B15" s="159"/>
      <c r="C15" s="160"/>
      <c r="D15" s="159"/>
    </row>
    <row r="16" spans="2:4" x14ac:dyDescent="0.2">
      <c r="B16" s="159"/>
      <c r="C16" s="159"/>
      <c r="D16" s="159"/>
    </row>
    <row r="17" spans="2:4" x14ac:dyDescent="0.2">
      <c r="B17" s="159"/>
      <c r="C17" s="159"/>
      <c r="D17" s="159"/>
    </row>
  </sheetData>
  <pageMargins left="0.78749999999999998" right="0.78749999999999998" top="1.05277777777778" bottom="1.05277777777778" header="0.78749999999999998" footer="0.78749999999999998"/>
  <pageSetup orientation="portrait" horizontalDpi="300" verticalDpi="300"/>
  <headerFooter>
    <oddHeader>&amp;C&amp;"Times New Roman,Regular"&amp;12&amp;Kffffff&amp;A</oddHeader>
    <oddFooter>&amp;C&amp;"Times New Roman,Regular"&amp;12&amp;KffffffPage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19327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Overview</vt:lpstr>
      <vt:lpstr>BadgeClass CRUD</vt:lpstr>
      <vt:lpstr>Badge Aanvragen</vt:lpstr>
      <vt:lpstr>Badge acties</vt:lpstr>
      <vt:lpstr>Gebruikers rollen</vt:lpstr>
      <vt:lpstr>Entiteiten beheer</vt:lpstr>
      <vt:lpstr>Test distribution</vt:lpstr>
      <vt:lpstr>Badgeclass interaction</vt:lpstr>
      <vt:lpstr>Issuer interaction</vt:lpstr>
      <vt:lpstr>Issuergroup interaction</vt:lpstr>
      <vt:lpstr>Student interaction</vt:lpstr>
      <vt:lpstr>Admin rights</vt:lpstr>
      <vt:lpstr>Institution interaction</vt:lpstr>
      <vt:lpstr>End-to-end</vt:lpstr>
      <vt:lpstr>Badge distribution</vt:lpstr>
      <vt:lpstr>Expansion possibilities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Ho Wah Wan</cp:lastModifiedBy>
  <cp:revision>50</cp:revision>
  <dcterms:created xsi:type="dcterms:W3CDTF">2025-02-20T12:26:53Z</dcterms:created>
  <dcterms:modified xsi:type="dcterms:W3CDTF">2026-04-24T09:27:39Z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0x0101008A3605F12E6A764BA5E1F34B3DF10AD4</vt:lpwstr>
  </property>
</Properties>
</file>